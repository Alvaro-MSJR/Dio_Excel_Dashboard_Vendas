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5f693d92bc71a/1_DIO/BOOTCAMP_SANTANDER_EXCEL_IA/Modulo_3_Aula_1_a_7/Projeto/"/>
    </mc:Choice>
  </mc:AlternateContent>
  <xr:revisionPtr revIDLastSave="73" documentId="8_{FB619770-4D33-45B5-A654-2B84E3CAB787}" xr6:coauthVersionLast="47" xr6:coauthVersionMax="47" xr10:uidLastSave="{119AE545-77F0-436A-B4F1-17EAEA86F979}"/>
  <bookViews>
    <workbookView xWindow="2130" yWindow="3000" windowWidth="22440" windowHeight="11505" tabRatio="181" firstSheet="3" activeTab="3" xr2:uid="{1DBB79E1-31C1-4ED9-A1C1-752EA2AEAAF4}"/>
  </bookViews>
  <sheets>
    <sheet name="Assets" sheetId="1" state="hidden" r:id="rId1"/>
    <sheet name="Bases" sheetId="2" state="hidden" r:id="rId2"/>
    <sheet name="Calculos" sheetId="3" state="hidden" r:id="rId3"/>
    <sheet name="Dashboard" sheetId="4" r:id="rId4"/>
  </sheets>
  <definedNames>
    <definedName name="_xlnm._FilterDatabase" localSheetId="1" hidden="1">Bases!$J$13:$V$111</definedName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3" i="3" l="1"/>
  <c r="G84" i="3"/>
  <c r="H111" i="3"/>
  <c r="J59" i="3"/>
  <c r="H59" i="3"/>
  <c r="J60" i="3"/>
  <c r="H112" i="3"/>
  <c r="H73" i="3"/>
</calcChain>
</file>

<file path=xl/sharedStrings.xml><?xml version="1.0" encoding="utf-8"?>
<sst xmlns="http://schemas.openxmlformats.org/spreadsheetml/2006/main" count="2130" uniqueCount="383">
  <si>
    <t>Objetivo:</t>
  </si>
  <si>
    <t>Contém todos os recursos que iremos usar no projeto</t>
  </si>
  <si>
    <t>De forma a termos um padão do projeto</t>
  </si>
  <si>
    <t>Seguinte assim, possivelmente não teremos um crescimento sem ordem</t>
  </si>
  <si>
    <t>Conteúdos:</t>
  </si>
  <si>
    <t>imagens</t>
  </si>
  <si>
    <t>videos</t>
  </si>
  <si>
    <t>gifs</t>
  </si>
  <si>
    <t>icones</t>
  </si>
  <si>
    <t>paleta de cores</t>
  </si>
  <si>
    <t>Outros</t>
  </si>
  <si>
    <t>Aba :</t>
  </si>
  <si>
    <t>Asset</t>
  </si>
  <si>
    <t>Recurso:</t>
  </si>
  <si>
    <t>Onde usar (opcional)</t>
  </si>
  <si>
    <t>Data criação recurso (opcional)</t>
  </si>
  <si>
    <t>Forma de usar:</t>
  </si>
  <si>
    <t>Bases</t>
  </si>
  <si>
    <t>Contém todos os dados do projeto que irao gerar o dashbaord.</t>
  </si>
  <si>
    <t>Contém formulas usadas, medidas e outros</t>
  </si>
  <si>
    <t>Cálculos</t>
  </si>
  <si>
    <t>Faz o processamento dos dados para transformar em informações para apresentar no dashbaord.</t>
  </si>
  <si>
    <t>Dados:</t>
  </si>
  <si>
    <t>Calculos</t>
  </si>
  <si>
    <t>Paleta de Cores</t>
  </si>
  <si>
    <t>Cor1</t>
  </si>
  <si>
    <t>cor2</t>
  </si>
  <si>
    <t>cor3</t>
  </si>
  <si>
    <t>Logos</t>
  </si>
  <si>
    <t>Logo1</t>
  </si>
  <si>
    <t>Log 2</t>
  </si>
  <si>
    <t>Icones</t>
  </si>
  <si>
    <t>Icone 1</t>
  </si>
  <si>
    <t>Icone 2</t>
  </si>
  <si>
    <t>#04C7C9</t>
  </si>
  <si>
    <t>#E6E6E6</t>
  </si>
  <si>
    <t>#78B536</t>
  </si>
  <si>
    <t>Zona negativa</t>
  </si>
  <si>
    <t>Menu</t>
  </si>
  <si>
    <t>Xbox Color</t>
  </si>
  <si>
    <t>#59CAD8</t>
  </si>
  <si>
    <t>#FFFF00</t>
  </si>
  <si>
    <t>#000000</t>
  </si>
  <si>
    <t>#8EA9DB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</si>
  <si>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</si>
  <si>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</si>
  <si>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</si>
  <si>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</si>
  <si>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</si>
  <si>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</si>
  <si>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</si>
  <si>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</si>
  <si>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</si>
  <si>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</si>
  <si>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</si>
  <si>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</si>
  <si>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</si>
  <si>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</si>
  <si>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</si>
  <si>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</si>
  <si>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</si>
  <si>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</si>
  <si>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</si>
  <si>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</si>
  <si>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</si>
  <si>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</si>
  <si>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</si>
  <si>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</si>
  <si>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</si>
  <si>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</si>
  <si>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</si>
  <si>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</si>
  <si>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</si>
  <si>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</si>
  <si>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</si>
  <si>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</si>
  <si>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</si>
  <si>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</si>
  <si>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</si>
  <si>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</si>
  <si>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</si>
  <si>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</si>
  <si>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</si>
  <si>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</si>
  <si>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</si>
  <si>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</si>
  <si>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</si>
  <si>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</si>
  <si>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</si>
  <si>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</si>
  <si>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</si>
  <si>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</si>
  <si>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</si>
  <si>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</si>
  <si>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</si>
  <si>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</si>
  <si>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</si>
  <si>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</si>
  <si>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</si>
  <si>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</si>
  <si>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</si>
  <si>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</si>
  <si>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</si>
  <si>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</si>
  <si>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</si>
  <si>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</si>
  <si>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</si>
  <si>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</si>
  <si>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</si>
  <si>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</si>
  <si>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</si>
  <si>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</si>
  <si>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</si>
  <si>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</si>
  <si>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</si>
  <si>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</si>
  <si>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</si>
  <si>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</si>
  <si>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</si>
  <si>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</si>
  <si>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</si>
  <si>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</si>
  <si>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</si>
  <si>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</si>
  <si>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</si>
  <si>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</si>
  <si>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</si>
  <si>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</si>
  <si>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</si>
  <si>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</si>
  <si>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</si>
  <si>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</si>
  <si>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</si>
  <si>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</si>
  <si>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</si>
  <si>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</si>
  <si>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</si>
  <si>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</si>
  <si>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</si>
  <si>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</si>
  <si>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</si>
  <si>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</si>
  <si>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</si>
  <si>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</si>
  <si>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</si>
  <si>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</si>
  <si>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</si>
  <si>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</si>
  <si>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</si>
  <si>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</si>
  <si>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</si>
  <si>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</si>
  <si>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</si>
  <si>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</si>
  <si>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</si>
  <si>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</si>
  <si>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</si>
  <si>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</si>
  <si>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r>
      <t xml:space="preserve">Pergunta de Negócio 2 - Qual o faturamento </t>
    </r>
    <r>
      <rPr>
        <b/>
        <sz val="12"/>
        <color theme="1"/>
        <rFont val="Calibri"/>
        <family val="2"/>
        <scheme val="minor"/>
      </rPr>
      <t>total de vendas</t>
    </r>
    <r>
      <rPr>
        <sz val="12"/>
        <color theme="1"/>
        <rFont val="Calibri"/>
        <family val="2"/>
        <scheme val="minor"/>
      </rPr>
      <t xml:space="preserve"> de</t>
    </r>
    <r>
      <rPr>
        <b/>
        <sz val="12"/>
        <color theme="1"/>
        <rFont val="Calibri"/>
        <family val="2"/>
        <scheme val="minor"/>
      </rPr>
      <t xml:space="preserve"> planos anuais</t>
    </r>
    <r>
      <rPr>
        <sz val="12"/>
        <color theme="1"/>
        <rFont val="Calibri"/>
        <family val="2"/>
        <scheme val="minor"/>
      </rPr>
      <t xml:space="preserve"> separado por auto renovação NÃO  E   por auto renovação.</t>
    </r>
  </si>
  <si>
    <r>
      <t xml:space="preserve">Pergunta de Negócio 4 - Qual o faturamento </t>
    </r>
    <r>
      <rPr>
        <b/>
        <sz val="12"/>
        <color theme="1"/>
        <rFont val="Calibri"/>
        <family val="2"/>
        <scheme val="minor"/>
      </rPr>
      <t>total de vendas</t>
    </r>
    <r>
      <rPr>
        <sz val="12"/>
        <color theme="1"/>
        <rFont val="Calibri"/>
        <family val="2"/>
        <scheme val="minor"/>
      </rPr>
      <t xml:space="preserve"> Assinaturas do Minecraft Season Pass</t>
    </r>
  </si>
  <si>
    <r>
      <t xml:space="preserve">Pergunta de Negócio 3 - Qual o faturamento </t>
    </r>
    <r>
      <rPr>
        <b/>
        <sz val="12"/>
        <color theme="1"/>
        <rFont val="Calibri"/>
        <family val="2"/>
        <scheme val="minor"/>
      </rPr>
      <t>total de vendas</t>
    </r>
    <r>
      <rPr>
        <sz val="12"/>
        <color theme="1"/>
        <rFont val="Calibri"/>
        <family val="2"/>
        <scheme val="minor"/>
      </rPr>
      <t xml:space="preserve"> de Assinaturas do EA Play</t>
    </r>
  </si>
  <si>
    <t>Fontes</t>
  </si>
  <si>
    <t>Título</t>
  </si>
  <si>
    <t xml:space="preserve">Texto </t>
  </si>
  <si>
    <t>Total Geral</t>
  </si>
  <si>
    <t>Maria Oliveira</t>
  </si>
  <si>
    <t>Core</t>
  </si>
  <si>
    <t>-</t>
  </si>
  <si>
    <t>Lucas Fernandes</t>
  </si>
  <si>
    <t>Standard</t>
  </si>
  <si>
    <t>Pedro Gonçalves</t>
  </si>
  <si>
    <t>Felipe Costa</t>
  </si>
  <si>
    <t>André Mendes</t>
  </si>
  <si>
    <t>Bruno Martins</t>
  </si>
  <si>
    <t>Rita Castro</t>
  </si>
  <si>
    <t>Lívia Silveira</t>
  </si>
  <si>
    <t>Diogo Sousa</t>
  </si>
  <si>
    <t>Caio Pereira</t>
  </si>
  <si>
    <t>Beatriz Gomes</t>
  </si>
  <si>
    <t>Débora Machado</t>
  </si>
  <si>
    <t>Eduardo Vargas</t>
  </si>
  <si>
    <t>Henrique Dias</t>
  </si>
  <si>
    <t>Isabela Moreira</t>
  </si>
  <si>
    <t>Lara Rocha</t>
  </si>
  <si>
    <t>Matheus Silva</t>
  </si>
  <si>
    <t>Otávio Mendonça</t>
  </si>
  <si>
    <t>Paula Ferreira</t>
  </si>
  <si>
    <t>Samuel Pires</t>
  </si>
  <si>
    <t>Tânia Barros</t>
  </si>
  <si>
    <t>Yasmin Teixeira</t>
  </si>
  <si>
    <t>Zé Carlos</t>
  </si>
  <si>
    <t>Amanda Nogueira</t>
  </si>
  <si>
    <t>Carla Dias</t>
  </si>
  <si>
    <t>Diego Fontes</t>
  </si>
  <si>
    <t>Fábio Martins</t>
  </si>
  <si>
    <t>Gisele Araújo</t>
  </si>
  <si>
    <t>Ingrid Menezes</t>
  </si>
  <si>
    <t>Jorge Baptista</t>
  </si>
  <si>
    <t>Luciana Freitas</t>
  </si>
  <si>
    <t>Márcia Eller</t>
  </si>
  <si>
    <t>Oscar Neves</t>
  </si>
  <si>
    <t>Patrícia Soares</t>
  </si>
  <si>
    <t>Raul Machado</t>
  </si>
  <si>
    <t>Sônia Lobo</t>
  </si>
  <si>
    <t>Ugo Pires</t>
  </si>
  <si>
    <t>Valéria Nobre</t>
  </si>
  <si>
    <t>Yara Figueiredo</t>
  </si>
  <si>
    <t>Amanda Bynes</t>
  </si>
  <si>
    <t>Bruno Mars</t>
  </si>
  <si>
    <t>Diego Maradona</t>
  </si>
  <si>
    <t>Estela Marques</t>
  </si>
  <si>
    <t>Gabriel Oliveira</t>
  </si>
  <si>
    <t>Helena Santos</t>
  </si>
  <si>
    <t>Júlia Ferreira</t>
  </si>
  <si>
    <t>Karla Alves</t>
  </si>
  <si>
    <t>Mônica Gomes</t>
  </si>
  <si>
    <t>Norberto Queiroz</t>
  </si>
  <si>
    <t>Paula Vieira</t>
  </si>
  <si>
    <t>Quentin Ramos</t>
  </si>
  <si>
    <t>Samantha Lopes</t>
  </si>
  <si>
    <t>Tiago Martins</t>
  </si>
  <si>
    <t>Vanessa Silva</t>
  </si>
  <si>
    <t>William Carneiro</t>
  </si>
  <si>
    <t>Yasmin Figueiredo</t>
  </si>
  <si>
    <t>Zara Cunha</t>
  </si>
  <si>
    <t>Bárbara Oliveira</t>
  </si>
  <si>
    <t>Carlos Junqueira</t>
  </si>
  <si>
    <t>Eduardo Lima</t>
  </si>
  <si>
    <t>Fabiana Araújo</t>
  </si>
  <si>
    <t>Héctor Vargas</t>
  </si>
  <si>
    <t>Isabela Fonseca</t>
  </si>
  <si>
    <t>Klara Costa</t>
  </si>
  <si>
    <t>Luciana Mendes</t>
  </si>
  <si>
    <t>Nívea Borges</t>
  </si>
  <si>
    <t>Oscar Nogueira</t>
  </si>
  <si>
    <t>Rafaela Silva</t>
  </si>
  <si>
    <t>Samantha Moraes</t>
  </si>
  <si>
    <t>Tatiana Rocha</t>
  </si>
  <si>
    <t>Víctor Lemos</t>
  </si>
  <si>
    <t>Wilma Barros</t>
  </si>
  <si>
    <t>Yago Pereira</t>
  </si>
  <si>
    <t>Zilda Ferreira</t>
  </si>
  <si>
    <t>Bruno Miranda</t>
  </si>
  <si>
    <t>Célia Torres</t>
  </si>
  <si>
    <t>Elisa Castro</t>
  </si>
  <si>
    <t>Fátima Lima</t>
  </si>
  <si>
    <t>Hélio Martins</t>
  </si>
  <si>
    <t>Íris Santos</t>
  </si>
  <si>
    <t>Larissa Gomes</t>
  </si>
  <si>
    <t>Márcio Silva</t>
  </si>
  <si>
    <t>Oscar Almeida</t>
  </si>
  <si>
    <t>Patricia Soares</t>
  </si>
  <si>
    <t>Rafael Torres</t>
  </si>
  <si>
    <t>Silvia Nascimento</t>
  </si>
  <si>
    <t>Ursula Silva</t>
  </si>
  <si>
    <t>Vanessa Moraes</t>
  </si>
  <si>
    <t>Xavier Lopes</t>
  </si>
  <si>
    <t>Yolanda Freitas</t>
  </si>
  <si>
    <t>Ana Clara Barreto</t>
  </si>
  <si>
    <t>Bruno Henrique</t>
  </si>
  <si>
    <t>Débora Lima</t>
  </si>
  <si>
    <t>Gisele Oliveira</t>
  </si>
  <si>
    <t>Héctor Silva</t>
  </si>
  <si>
    <t>Joana Figueiredo</t>
  </si>
  <si>
    <t>Kleber Machado</t>
  </si>
  <si>
    <t>Marcos Teixeira</t>
  </si>
  <si>
    <t>Natalia Costa</t>
  </si>
  <si>
    <t>Patricia Almeida</t>
  </si>
  <si>
    <t>Quirino Junior</t>
  </si>
  <si>
    <t>Sônia Alves</t>
  </si>
  <si>
    <t>Tiago Nunes</t>
  </si>
  <si>
    <t>Vanessa Lima</t>
  </si>
  <si>
    <t>Wagner Santos</t>
  </si>
  <si>
    <t>Yasmin Silva</t>
  </si>
  <si>
    <t>Zacarias de Souza</t>
  </si>
  <si>
    <t>Bianca Freitas</t>
  </si>
  <si>
    <t>Caio Mendes</t>
  </si>
  <si>
    <t>Eduardo Costa</t>
  </si>
  <si>
    <t>Fernanda Gomes</t>
  </si>
  <si>
    <t>Helena Ribeiro</t>
  </si>
  <si>
    <t>Igor Santos</t>
  </si>
  <si>
    <t>Klara Fagundes</t>
  </si>
  <si>
    <t>Lúcia Mendonça</t>
  </si>
  <si>
    <t>Marcelo Novaes</t>
  </si>
  <si>
    <t>Olívia Rios</t>
  </si>
  <si>
    <t>Paulo Quintana</t>
  </si>
  <si>
    <t>Samuel Viana</t>
  </si>
  <si>
    <t>Tatiane Rocha</t>
  </si>
  <si>
    <t>Vanessa Moreira</t>
  </si>
  <si>
    <t>Yara Machado</t>
  </si>
  <si>
    <t>Zacarias Costa</t>
  </si>
  <si>
    <t>Beatriz Souza</t>
  </si>
  <si>
    <t>Eduardo Santos</t>
  </si>
  <si>
    <t>Igor Mendes</t>
  </si>
  <si>
    <t>Lucas Martins</t>
  </si>
  <si>
    <t>Marcela Gouveia</t>
  </si>
  <si>
    <t>Olivia Freitas</t>
  </si>
  <si>
    <t>Paulo Nogueira</t>
  </si>
  <si>
    <t>Sônia Carvalho</t>
  </si>
  <si>
    <t>Tiago Rodrigues</t>
  </si>
  <si>
    <t>Vanessa Pereira</t>
  </si>
  <si>
    <t>Walter Silva</t>
  </si>
  <si>
    <t>Yasmine Correia</t>
  </si>
  <si>
    <t>Zacarias Almeida</t>
  </si>
  <si>
    <t>Bruno Ferreira</t>
  </si>
  <si>
    <t>Elisa Campos</t>
  </si>
  <si>
    <t>Fabiana Lima</t>
  </si>
  <si>
    <t>Helena Ferreira</t>
  </si>
  <si>
    <t>Ígor Nunes</t>
  </si>
  <si>
    <t>Luciana Morais</t>
  </si>
  <si>
    <t>Natália Barros</t>
  </si>
  <si>
    <t>Oscar Sampaio</t>
  </si>
  <si>
    <t>Quênia Rocha</t>
  </si>
  <si>
    <t>Tiago Lacerda</t>
  </si>
  <si>
    <t>Ursula Fonseca</t>
  </si>
  <si>
    <t>William Castro</t>
  </si>
  <si>
    <t>Xavier Monteiro</t>
  </si>
  <si>
    <t>Zacarias Mendonça</t>
  </si>
  <si>
    <t>Amanda Menezes</t>
  </si>
  <si>
    <t>Carla Ferreira</t>
  </si>
  <si>
    <t>Diogo Alves</t>
  </si>
  <si>
    <t>Fabiano Pires</t>
  </si>
  <si>
    <t>Giovana Ribeiro</t>
  </si>
  <si>
    <t>Íris Loureiro</t>
  </si>
  <si>
    <t>João Pereira</t>
  </si>
  <si>
    <t>Luciana Barros</t>
  </si>
  <si>
    <t>Marcos Gomes</t>
  </si>
  <si>
    <t>Oscar Machado</t>
  </si>
  <si>
    <t>Patrícia Lima</t>
  </si>
  <si>
    <t>Rafaela Souza</t>
  </si>
  <si>
    <t>Tânia Ribeiro</t>
  </si>
  <si>
    <t>Ugo Dias</t>
  </si>
  <si>
    <t>William Fernandes</t>
  </si>
  <si>
    <t>Xuxa Mendes</t>
  </si>
  <si>
    <t>Zilda Barros</t>
  </si>
  <si>
    <t>Amanda Santos</t>
  </si>
  <si>
    <t>Carla Rodrigues</t>
  </si>
  <si>
    <t>Diogo Pereira</t>
  </si>
  <si>
    <t>Fábio Lourenço</t>
  </si>
  <si>
    <t>Gabriela Neves</t>
  </si>
  <si>
    <t>João Marcelo Alves</t>
  </si>
  <si>
    <t>Lucas Mendonça</t>
  </si>
  <si>
    <t>Marcela Torres</t>
  </si>
  <si>
    <t>Oscar Martins</t>
  </si>
  <si>
    <t>Patrícia Oliveira</t>
  </si>
  <si>
    <t>Raquel Silva</t>
  </si>
  <si>
    <t>Sandro Gomes</t>
  </si>
  <si>
    <t>Xavier Reis</t>
  </si>
  <si>
    <t>Yasmin Rocha</t>
  </si>
  <si>
    <t>Amanda Freitas</t>
  </si>
  <si>
    <t>Bruno Almeida</t>
  </si>
  <si>
    <t>Diogo Ramos</t>
  </si>
  <si>
    <t>Elisa Magalhães</t>
  </si>
  <si>
    <t>Total Values</t>
  </si>
  <si>
    <r>
      <t xml:space="preserve">Pergunta de Negócio 1 - Qual o faturamento </t>
    </r>
    <r>
      <rPr>
        <b/>
        <sz val="12"/>
        <color theme="1"/>
        <rFont val="Calibri"/>
        <family val="2"/>
        <scheme val="minor"/>
      </rPr>
      <t>total de vendas</t>
    </r>
    <r>
      <rPr>
        <sz val="12"/>
        <color theme="1"/>
        <rFont val="Calibri"/>
        <family val="2"/>
        <scheme val="minor"/>
      </rPr>
      <t xml:space="preserve"> de</t>
    </r>
    <r>
      <rPr>
        <b/>
        <sz val="12"/>
        <color theme="1"/>
        <rFont val="Calibri"/>
        <family val="2"/>
        <scheme val="minor"/>
      </rPr>
      <t xml:space="preserve"> planos anuais</t>
    </r>
    <r>
      <rPr>
        <sz val="12"/>
        <color theme="1"/>
        <rFont val="Calibri"/>
        <family val="2"/>
        <scheme val="minor"/>
      </rPr>
      <t xml:space="preserve"> (contendo todas as assinaturas agregadas ) informando por tipo de Plano</t>
    </r>
  </si>
  <si>
    <r>
      <t xml:space="preserve">Pergunta de Negócio 2 - Qual o faturamento </t>
    </r>
    <r>
      <rPr>
        <b/>
        <sz val="12"/>
        <color theme="1"/>
        <rFont val="Calibri"/>
        <family val="2"/>
        <scheme val="minor"/>
      </rPr>
      <t>total de vendas</t>
    </r>
    <r>
      <rPr>
        <sz val="12"/>
        <color theme="1"/>
        <rFont val="Calibri"/>
        <family val="2"/>
        <scheme val="minor"/>
      </rPr>
      <t xml:space="preserve"> de</t>
    </r>
    <r>
      <rPr>
        <b/>
        <sz val="12"/>
        <color theme="1"/>
        <rFont val="Calibri"/>
        <family val="2"/>
        <scheme val="minor"/>
      </rPr>
      <t xml:space="preserve"> planos anuais</t>
    </r>
    <r>
      <rPr>
        <sz val="12"/>
        <color theme="1"/>
        <rFont val="Calibri"/>
        <family val="2"/>
        <scheme val="minor"/>
      </rPr>
      <t xml:space="preserve"> separado por auto renovação NÃO  E   por auto renovação. E  informando por tipo de Plano</t>
    </r>
  </si>
  <si>
    <t>#386800</t>
  </si>
  <si>
    <t>Contagem de Auto Renewal</t>
  </si>
  <si>
    <t>Count Auto Renewal</t>
  </si>
  <si>
    <t>Contagem de EA Play Season Pass</t>
  </si>
  <si>
    <t>Total EA Play Season Pass</t>
  </si>
  <si>
    <t>Count EA Play Season Pass</t>
  </si>
  <si>
    <t>Total</t>
  </si>
  <si>
    <t>Numero</t>
  </si>
  <si>
    <t>Numero Total</t>
  </si>
  <si>
    <t>Total Minecraft Season Pass Price</t>
  </si>
  <si>
    <t>Count Minecraft Season Pass</t>
  </si>
  <si>
    <t>Soma de Coupon Value</t>
  </si>
  <si>
    <t>Pergunta de Negócio 5- Qual total de desconto ofertado nas Assinaturas que contém do Minecraft e quais os planos</t>
  </si>
  <si>
    <t>Pergunta de Negócio 6- Qual total de desconto ofertado nas Assinaturas que contém do  EA PLAY e quais os planos</t>
  </si>
  <si>
    <t>Pergunta de Negócio 7- Qual total de desconto ofertado nas Assinaturas e quais os planos</t>
  </si>
  <si>
    <t>Pergunta de Negócio 8- Qual total de vendas de Assinaturas por plano</t>
  </si>
  <si>
    <t>Média Total Value</t>
  </si>
  <si>
    <t>Count Plan</t>
  </si>
  <si>
    <t>Coupon Values</t>
  </si>
  <si>
    <t>#117910</t>
  </si>
  <si>
    <t>#F5F5F5</t>
  </si>
  <si>
    <t>Franklin Gothic Demi</t>
  </si>
  <si>
    <t xml:space="preserve">Copperplate Gothic </t>
  </si>
  <si>
    <t>Calisto MT</t>
  </si>
  <si>
    <t>NÃO FORAM USADAS</t>
  </si>
  <si>
    <t>Calculate Period : 01/01/2024 - 31/12/2024   |  Update 13/02/2026 00:00:00</t>
  </si>
  <si>
    <t>Welcome Sales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</si>
</sst>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Bahnschrift"/>
      <family val="2"/>
    </font>
    <font>
      <sz val="16"/>
      <color theme="1"/>
      <name val="Copperplate Gothic Bold"/>
      <family val="2"/>
    </font>
    <font>
      <sz val="14"/>
      <color theme="1"/>
      <name val="Franklin Gothic Demi"/>
      <family val="2"/>
    </font>
    <font>
      <sz val="12"/>
      <color theme="1"/>
      <name val="Calisto MT"/>
      <family val="1"/>
    </font>
    <font>
      <b/>
      <sz val="16"/>
      <color theme="1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0"/>
      <color theme="0"/>
      <name val="Calisto MT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4C7C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78B536"/>
        <bgColor indexed="64"/>
      </patternFill>
    </fill>
    <fill>
      <patternFill patternType="solid">
        <fgColor rgb="FF59CAD8"/>
        <bgColor indexed="64"/>
      </patternFill>
    </fill>
    <fill>
      <patternFill patternType="solid">
        <fgColor rgb="FF04C7C9"/>
        <bgColor theme="6"/>
      </patternFill>
    </fill>
    <fill>
      <patternFill patternType="solid">
        <fgColor rgb="FF386800"/>
        <bgColor indexed="64"/>
      </patternFill>
    </fill>
    <fill>
      <patternFill patternType="solid">
        <fgColor rgb="FF11791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4" borderId="0" xfId="0" applyFill="1"/>
    <xf numFmtId="14" fontId="0" fillId="0" borderId="0" xfId="0" applyNumberFormat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3" borderId="0" xfId="0" applyFont="1" applyFill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9" fillId="9" borderId="0" xfId="0" applyFont="1" applyFill="1" applyAlignment="1">
      <alignment horizontal="center" vertical="center" wrapText="1"/>
    </xf>
    <xf numFmtId="0" fontId="0" fillId="10" borderId="0" xfId="0" applyFill="1"/>
    <xf numFmtId="164" fontId="0" fillId="0" borderId="0" xfId="0" applyNumberFormat="1"/>
    <xf numFmtId="0" fontId="0" fillId="11" borderId="0" xfId="0" applyFill="1"/>
    <xf numFmtId="44" fontId="0" fillId="6" borderId="0" xfId="0" applyNumberFormat="1" applyFill="1"/>
    <xf numFmtId="0" fontId="5" fillId="2" borderId="0" xfId="0" applyFont="1" applyFill="1" applyAlignment="1">
      <alignment vertical="center"/>
    </xf>
    <xf numFmtId="0" fontId="13" fillId="2" borderId="0" xfId="0" applyFont="1" applyFill="1"/>
    <xf numFmtId="0" fontId="14" fillId="6" borderId="0" xfId="0" applyFont="1" applyFill="1" applyAlignment="1">
      <alignment horizontal="left" indent="5"/>
    </xf>
    <xf numFmtId="0" fontId="15" fillId="11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NumberFormat="1"/>
  </cellXfs>
  <cellStyles count="2">
    <cellStyle name="Mo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family val="2"/>
        <scheme val="none"/>
      </font>
      <fill>
        <patternFill patternType="solid">
          <fgColor theme="6"/>
          <bgColor rgb="FF04C7C9"/>
        </patternFill>
      </fill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 val="0"/>
        <i val="0"/>
        <color theme="0"/>
      </font>
      <fill>
        <patternFill patternType="solid">
          <fgColor rgb="FF117910"/>
          <bgColor rgb="FF117910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Verde" pivot="0" table="0" count="10" xr9:uid="{265B2147-D24C-40A2-8992-07D869A50D7D}">
      <tableStyleElement type="wholeTable" dxfId="17"/>
      <tableStyleElement type="headerRow" dxfId="16"/>
    </tableStyle>
  </tableStyles>
  <colors>
    <mruColors>
      <color rgb="FF04C7C9"/>
      <color rgb="FF117910"/>
      <color rgb="FF78B536"/>
      <color rgb="FF386800"/>
      <color rgb="FF385805"/>
      <color rgb="FF8EA9DB"/>
      <color rgb="FFE6E6E6"/>
      <color rgb="FF59CAD8"/>
      <color rgb="FFF5F5F5"/>
      <color rgb="FFDBDBDB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theme="7" tint="0.59999389629810485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78B536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9" tint="-0.249977111117893"/>
          </font>
          <fill>
            <gradientFill degree="90">
              <stop position="0">
                <color theme="0"/>
              </stop>
              <stop position="1">
                <color theme="0"/>
              </stop>
            </gradient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b/>
            <i val="0"/>
            <color theme="1"/>
          </font>
          <fill>
            <gradientFill degree="135">
              <stop position="0">
                <color rgb="FF78B536"/>
              </stop>
              <stop position="1">
                <color theme="9" tint="0.59999389629810485"/>
              </stop>
            </gradient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gradientFill degree="45">
              <stop position="0">
                <color theme="0"/>
              </stop>
              <stop position="1">
                <color theme="7" tint="0.80001220740379042"/>
              </stop>
            </gradient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78B536"/>
              <bgColor auto="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Verd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[Dashboad_Analise_Vendas_XBOX.xlsx]Calculos!tbl_venda_anual</c:name>
    <c:fmtId val="0"/>
  </c:pivotSource>
  <c:chart>
    <c:autoTitleDeleted val="1"/>
    <c:pivotFmts>
      <c:pivotFmt>
        <c:idx val="0"/>
        <c:spPr>
          <a:solidFill>
            <a:srgbClr val="59CAD8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8B536"/>
          </a:solidFill>
          <a:ln w="25400">
            <a:solidFill>
              <a:schemeClr val="lt1"/>
            </a:solidFill>
          </a:ln>
          <a:effectLst>
            <a:innerShdw blurRad="63500" dist="38100" dir="13500000">
              <a:prstClr val="black">
                <a:alpha val="50000"/>
              </a:prstClr>
            </a:innerShdw>
          </a:effectLst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150808903624753"/>
                  <c:h val="0.25375798687628498"/>
                </c:manualLayout>
              </c15:layout>
            </c:ext>
          </c:extLst>
        </c:dLbl>
      </c:pivotFmt>
      <c:pivotFmt>
        <c:idx val="2"/>
        <c:spPr>
          <a:solidFill>
            <a:srgbClr val="04C7C9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7.5691675866394276E-2"/>
              <c:y val="6.94900983936649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0393485492549133"/>
                  <c:h val="0.28850286508454354"/>
                </c:manualLayout>
              </c15:layout>
            </c:ext>
          </c:extLst>
        </c:dLbl>
      </c:pivotFmt>
      <c:pivotFmt>
        <c:idx val="3"/>
        <c:spPr>
          <a:solidFill>
            <a:srgbClr val="386800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-1.7467256916300258E-2"/>
              <c:y val="-3.474487820825861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605381198813146"/>
                  <c:h val="0.21901310866802637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729344624852836"/>
          <c:y val="0.16673437814191502"/>
          <c:w val="0.46677186753859301"/>
          <c:h val="0.68390368282029923"/>
        </c:manualLayout>
      </c:layout>
      <c:pie3DChart>
        <c:varyColors val="1"/>
        <c:ser>
          <c:idx val="0"/>
          <c:order val="0"/>
          <c:tx>
            <c:strRef>
              <c:f>Calculos!$D$24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CAD8"/>
            </a:solidFill>
            <a:scene3d>
              <a:camera prst="orthographicFront"/>
              <a:lightRig rig="threePt" dir="t"/>
            </a:scene3d>
            <a:sp3d>
              <a:bevelT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rgbClr val="386800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F634-4A9D-A1DA-72A38AAA93DB}"/>
              </c:ext>
            </c:extLst>
          </c:dPt>
          <c:dPt>
            <c:idx val="1"/>
            <c:bubble3D val="0"/>
            <c:spPr>
              <a:solidFill>
                <a:srgbClr val="04C7C9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34-4A9D-A1DA-72A38AAA93DB}"/>
              </c:ext>
            </c:extLst>
          </c:dPt>
          <c:dPt>
            <c:idx val="2"/>
            <c:bubble3D val="0"/>
            <c:spPr>
              <a:solidFill>
                <a:srgbClr val="78B536"/>
              </a:solidFill>
              <a:ln w="25400">
                <a:solidFill>
                  <a:schemeClr val="lt1"/>
                </a:solidFill>
              </a:ln>
              <a:effectLst>
                <a:innerShdw blurRad="63500" dist="38100" dir="13500000">
                  <a:prstClr val="black">
                    <a:alpha val="50000"/>
                  </a:prstClr>
                </a:innerShdw>
              </a:effectLst>
              <a:scene3d>
                <a:camera prst="orthographicFront"/>
                <a:lightRig rig="threePt" dir="t"/>
              </a:scene3d>
              <a:sp3d contourW="25400">
                <a:bevelT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634-4A9D-A1DA-72A38AAA93DB}"/>
              </c:ext>
            </c:extLst>
          </c:dPt>
          <c:dLbls>
            <c:dLbl>
              <c:idx val="0"/>
              <c:layout>
                <c:manualLayout>
                  <c:x val="-1.7467256916300258E-2"/>
                  <c:y val="-3.474487820825861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605381198813146"/>
                      <c:h val="0.219013108668026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634-4A9D-A1DA-72A38AAA93DB}"/>
                </c:ext>
              </c:extLst>
            </c:dLbl>
            <c:dLbl>
              <c:idx val="1"/>
              <c:layout>
                <c:manualLayout>
                  <c:x val="7.5691675866394276E-2"/>
                  <c:y val="6.94900983936649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93485492549133"/>
                      <c:h val="0.288502865084543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634-4A9D-A1DA-72A38AAA93DB}"/>
                </c:ext>
              </c:extLst>
            </c:dLbl>
            <c:dLbl>
              <c:idx val="2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50808903624753"/>
                      <c:h val="0.253757986876284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634-4A9D-A1DA-72A38AAA93D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Calculos!$C$25:$C$28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Calculos!$D$25:$D$28</c:f>
              <c:numCache>
                <c:formatCode>_("R$"* #,##0.00_);_("R$"* \(#,##0.00\);_("R$"* "-"??_);_(@_)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4A9D-A1DA-72A38AAA9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[Dashboad_Analise_Vendas_XBOX.xlsx]Calculos!tbl_venda_auto_renewal</c:name>
    <c:fmtId val="1"/>
  </c:pivotSource>
  <c:chart>
    <c:autoTitleDeleted val="1"/>
    <c:pivotFmts>
      <c:pivotFmt>
        <c:idx val="0"/>
        <c:spPr>
          <a:solidFill>
            <a:srgbClr val="78B53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86800"/>
          </a:solidFill>
          <a:ln>
            <a:noFill/>
          </a:ln>
          <a:effectLst/>
          <a:sp3d/>
        </c:spPr>
      </c:pivotFmt>
      <c:pivotFmt>
        <c:idx val="2"/>
      </c:pivotFmt>
      <c:pivotFmt>
        <c:idx val="3"/>
        <c:spPr>
          <a:solidFill>
            <a:srgbClr val="04C7C9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4C7C9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385805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59CAD8"/>
          </a:solidFill>
          <a:ln>
            <a:noFill/>
          </a:ln>
          <a:effectLst/>
          <a:sp3d/>
        </c:spPr>
      </c:pivotFmt>
      <c:pivotFmt>
        <c:idx val="8"/>
        <c:spPr>
          <a:solidFill>
            <a:srgbClr val="78B536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298425196850395"/>
          <c:y val="5.0925925925925923E-2"/>
          <c:w val="0.79646019247594046"/>
          <c:h val="0.7052034120734906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Calculos!$D$35</c:f>
              <c:strCache>
                <c:ptCount val="1"/>
                <c:pt idx="0">
                  <c:v>Total Values</c:v>
                </c:pt>
              </c:strCache>
            </c:strRef>
          </c:tx>
          <c:spPr>
            <a:solidFill>
              <a:srgbClr val="78B536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59CAD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C632-414B-9D1F-0021F47F974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D63-4099-888E-B23C20A5D1B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D63-4099-888E-B23C20A5D1B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D63-4099-888E-B23C20A5D1B6}"/>
              </c:ext>
            </c:extLst>
          </c:dPt>
          <c:cat>
            <c:strRef>
              <c:f>Calculos!$C$36:$C$38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Calculos!$D$36:$D$38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2-414B-9D1F-0021F47F9746}"/>
            </c:ext>
          </c:extLst>
        </c:ser>
        <c:ser>
          <c:idx val="1"/>
          <c:order val="1"/>
          <c:tx>
            <c:strRef>
              <c:f>Calculos!$E$35</c:f>
              <c:strCache>
                <c:ptCount val="1"/>
                <c:pt idx="0">
                  <c:v>Count Auto Renewal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>
              <a:outerShdw sx="1000" sy="1000" algn="ctr" rotWithShape="0">
                <a:schemeClr val="bg1"/>
              </a:outerShdw>
            </a:effectLst>
            <a:scene3d>
              <a:camera prst="orthographicFront"/>
              <a:lightRig rig="threePt" dir="t"/>
            </a:scene3d>
            <a:sp3d prstMaterial="metal"/>
          </c:spPr>
          <c:invertIfNegative val="0"/>
          <c:dPt>
            <c:idx val="0"/>
            <c:invertIfNegative val="0"/>
            <c:bubble3D val="0"/>
            <c:spPr>
              <a:solidFill>
                <a:srgbClr val="78B536"/>
              </a:solidFill>
              <a:ln>
                <a:noFill/>
              </a:ln>
              <a:effectLst>
                <a:outerShdw sx="1000" sy="1000" algn="ctr" rotWithShape="0">
                  <a:schemeClr val="bg1"/>
                </a:outerShdw>
              </a:effectLst>
              <a:scene3d>
                <a:camera prst="orthographicFront"/>
                <a:lightRig rig="threePt" dir="t"/>
              </a:scene3d>
              <a:sp3d prstMaterial="metal"/>
            </c:spPr>
            <c:extLst>
              <c:ext xmlns:c16="http://schemas.microsoft.com/office/drawing/2014/chart" uri="{C3380CC4-5D6E-409C-BE32-E72D297353CC}">
                <c16:uniqueId val="{00000008-C632-414B-9D1F-0021F47F9746}"/>
              </c:ext>
            </c:extLst>
          </c:dPt>
          <c:cat>
            <c:strRef>
              <c:f>Calculos!$C$36:$C$38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Calculos!$E$36:$E$38</c:f>
              <c:numCache>
                <c:formatCode>General</c:formatCode>
                <c:ptCount val="2"/>
                <c:pt idx="0">
                  <c:v>111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32-414B-9D1F-0021F47F9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2099695"/>
        <c:axId val="792112175"/>
        <c:axId val="0"/>
      </c:bar3DChart>
      <c:catAx>
        <c:axId val="79209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58000"/>
                  </a:schemeClr>
                </a:solidFill>
                <a:effectLst>
                  <a:outerShdw blurRad="50800" dist="50800" dir="5400000" sx="3000" sy="3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112175"/>
        <c:crosses val="autoZero"/>
        <c:auto val="1"/>
        <c:lblAlgn val="ctr"/>
        <c:lblOffset val="100"/>
        <c:noMultiLvlLbl val="0"/>
      </c:catAx>
      <c:valAx>
        <c:axId val="79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in"/>
        <c:minorTickMark val="out"/>
        <c:tickLblPos val="low"/>
        <c:spPr>
          <a:noFill/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3000" sy="3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09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1"/>
    <a:lstStyle/>
    <a:p>
      <a:pPr>
        <a:defRPr>
          <a:effectLst>
            <a:outerShdw blurRad="50800" dist="50800" dir="5400000" sx="3000" sy="3000" algn="ctr" rotWithShape="0">
              <a:srgbClr val="000000">
                <a:alpha val="43137"/>
              </a:srgb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[Dashboad_Analise_Vendas_XBOX.xlsx]Calculos!tbl_venda_auto_renewal</c:name>
    <c:fmtId val="16"/>
  </c:pivotSource>
  <c:chart>
    <c:autoTitleDeleted val="1"/>
    <c:pivotFmts>
      <c:pivotFmt>
        <c:idx val="0"/>
        <c:spPr>
          <a:solidFill>
            <a:srgbClr val="78B53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86800"/>
          </a:solidFill>
          <a:ln>
            <a:noFill/>
          </a:ln>
          <a:effectLst/>
          <a:sp3d/>
        </c:spPr>
      </c:pivotFmt>
      <c:pivotFmt>
        <c:idx val="2"/>
      </c:pivotFmt>
      <c:pivotFmt>
        <c:idx val="3"/>
        <c:spPr>
          <a:solidFill>
            <a:srgbClr val="04C7C9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4C7C9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385805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59CAD8"/>
          </a:solidFill>
          <a:ln>
            <a:noFill/>
          </a:ln>
          <a:effectLst/>
          <a:sp3d/>
        </c:spPr>
      </c:pivotFmt>
      <c:pivotFmt>
        <c:idx val="8"/>
        <c:spPr>
          <a:solidFill>
            <a:srgbClr val="78B536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</c:pivotFmt>
      <c:pivotFmt>
        <c:idx val="9"/>
        <c:spPr>
          <a:solidFill>
            <a:srgbClr val="78B53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9CAD8"/>
          </a:solidFill>
          <a:ln>
            <a:noFill/>
          </a:ln>
          <a:effectLst/>
          <a:sp3d/>
        </c:spPr>
      </c:pivotFmt>
      <c:pivotFmt>
        <c:idx val="11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8B536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</c:pivotFmt>
      <c:pivotFmt>
        <c:idx val="13"/>
        <c:spPr>
          <a:solidFill>
            <a:srgbClr val="78B53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9CAD8"/>
          </a:solidFill>
          <a:ln>
            <a:noFill/>
          </a:ln>
          <a:effectLst/>
          <a:sp3d/>
        </c:spPr>
        <c:dLbl>
          <c:idx val="0"/>
          <c:layout>
            <c:manualLayout>
              <c:x val="-1.3071895424836654E-2"/>
              <c:y val="-9.77312569991263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78B536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1.7429193899782189E-2"/>
              <c:y val="-9.3077387618215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78B536"/>
          </a:solidFill>
          <a:ln>
            <a:noFill/>
          </a:ln>
          <a:effectLst/>
          <a:sp3d/>
        </c:spPr>
        <c:dLbl>
          <c:idx val="0"/>
          <c:layout>
            <c:manualLayout>
              <c:x val="-1.4524328249819511E-3"/>
              <c:y val="-0.102385126380037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2.9048656499636893E-2"/>
              <c:y val="-8.84235182373049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78B536"/>
          </a:solidFill>
          <a:ln>
            <a:noFill/>
          </a:ln>
          <a:effectLst/>
          <a:sp3d/>
        </c:spPr>
        <c:dLbl>
          <c:idx val="0"/>
          <c:layout>
            <c:manualLayout>
              <c:x val="-8.494900885576721E-3"/>
              <c:y val="-8.3769648856394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1.6989801771153338E-2"/>
              <c:y val="-0.107038995760947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78B536"/>
          </a:solidFill>
          <a:ln>
            <a:noFill/>
          </a:ln>
          <a:effectLst/>
          <a:sp3d/>
        </c:spPr>
        <c:dLbl>
          <c:idx val="0"/>
          <c:layout>
            <c:manualLayout>
              <c:x val="-2.831633628525565E-3"/>
              <c:y val="-8.3769648856394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1.698980177115339E-2"/>
              <c:y val="-6.05003019518401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78B536"/>
          </a:solidFill>
          <a:ln>
            <a:noFill/>
          </a:ln>
          <a:effectLst/>
          <a:sp3d/>
        </c:spPr>
        <c:dLbl>
          <c:idx val="0"/>
          <c:layout>
            <c:manualLayout>
              <c:x val="4.2474504427882954E-3"/>
              <c:y val="-7.44619100945725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1.6989801771153286E-2"/>
              <c:y val="-4.65386938091078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78B536"/>
          </a:solidFill>
          <a:ln>
            <a:noFill/>
          </a:ln>
          <a:effectLst/>
          <a:sp3d/>
        </c:spPr>
        <c:dLbl>
          <c:idx val="0"/>
          <c:layout>
            <c:manualLayout>
              <c:x val="5.66326725705113E-3"/>
              <c:y val="-9.77312569991264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1.698980177115339E-2"/>
              <c:y val="-6.05003019518401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78B536"/>
          </a:solidFill>
          <a:ln>
            <a:noFill/>
          </a:ln>
          <a:effectLst/>
          <a:sp3d/>
        </c:spPr>
        <c:dLbl>
          <c:idx val="0"/>
          <c:layout>
            <c:manualLayout>
              <c:x val="-1.4158168142627825E-3"/>
              <c:y val="-5.584643257092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1.4158168142627825E-2"/>
              <c:y val="-5.58464325709294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8EA9DB"/>
          </a:solidFill>
          <a:ln>
            <a:noFill/>
          </a:ln>
          <a:effectLst>
            <a:outerShdw sx="1000" sy="1000" algn="ctr" rotWithShape="0">
              <a:schemeClr val="bg1"/>
            </a:outerShdw>
          </a:effectLst>
          <a:scene3d>
            <a:camera prst="orthographicFront"/>
            <a:lightRig rig="threePt" dir="t"/>
          </a:scene3d>
          <a:sp3d prstMaterial="metal"/>
        </c:spPr>
        <c:dLbl>
          <c:idx val="0"/>
          <c:layout>
            <c:manualLayout>
              <c:x val="2.831633628525565E-2"/>
              <c:y val="-4.18848244281970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78B536"/>
          </a:solidFill>
          <a:ln>
            <a:noFill/>
          </a:ln>
          <a:effectLst/>
          <a:sp3d/>
        </c:spPr>
        <c:dLbl>
          <c:idx val="0"/>
          <c:layout>
            <c:manualLayout>
              <c:x val="3.5395420356569458E-2"/>
              <c:y val="-4.6538693809107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86800"/>
                  </a:solidFill>
                  <a:effectLst>
                    <a:outerShdw blurRad="50800" dist="50800" dir="5400000" sx="3000" sy="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992240349041336"/>
          <c:y val="9.7464484014141872E-2"/>
          <c:w val="0.79646019247594046"/>
          <c:h val="0.7052034120734906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Calculos!$D$35</c:f>
              <c:strCache>
                <c:ptCount val="1"/>
                <c:pt idx="0">
                  <c:v>Total Values</c:v>
                </c:pt>
              </c:strCache>
            </c:strRef>
          </c:tx>
          <c:spPr>
            <a:solidFill>
              <a:srgbClr val="78B536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59CAD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F95-4D1F-98FF-15F0B20B99B9}"/>
              </c:ext>
            </c:extLst>
          </c:dPt>
          <c:dPt>
            <c:idx val="1"/>
            <c:invertIfNegative val="0"/>
            <c:bubble3D val="0"/>
            <c:spPr>
              <a:solidFill>
                <a:srgbClr val="78B53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9F95-4D1F-98FF-15F0B20B99B9}"/>
              </c:ext>
            </c:extLst>
          </c:dPt>
          <c:dLbls>
            <c:dLbl>
              <c:idx val="0"/>
              <c:layout>
                <c:manualLayout>
                  <c:x val="-1.3071895424836654E-2"/>
                  <c:y val="-9.77312569991263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95-4D1F-98FF-15F0B20B99B9}"/>
                </c:ext>
              </c:extLst>
            </c:dLbl>
            <c:dLbl>
              <c:idx val="1"/>
              <c:layout>
                <c:manualLayout>
                  <c:x val="-1.4524328249819511E-3"/>
                  <c:y val="-0.102385126380037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95-4D1F-98FF-15F0B20B99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386800"/>
                    </a:solidFill>
                    <a:effectLst>
                      <a:outerShdw blurRad="50800" dist="50800" dir="5400000" sx="3000" sy="3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Calculos!$C$36:$C$38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Calculos!$D$36:$D$38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5-4D1F-98FF-15F0B20B99B9}"/>
            </c:ext>
          </c:extLst>
        </c:ser>
        <c:ser>
          <c:idx val="1"/>
          <c:order val="1"/>
          <c:tx>
            <c:strRef>
              <c:f>Calculos!$E$35</c:f>
              <c:strCache>
                <c:ptCount val="1"/>
                <c:pt idx="0">
                  <c:v>Count Auto Renewal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>
              <a:outerShdw sx="1000" sy="1000" algn="ctr" rotWithShape="0">
                <a:schemeClr val="bg1"/>
              </a:outerShdw>
            </a:effectLst>
            <a:scene3d>
              <a:camera prst="orthographicFront"/>
              <a:lightRig rig="threePt" dir="t"/>
            </a:scene3d>
            <a:sp3d prstMaterial="metal"/>
          </c:spPr>
          <c:invertIfNegative val="0"/>
          <c:dPt>
            <c:idx val="0"/>
            <c:invertIfNegative val="0"/>
            <c:bubble3D val="0"/>
            <c:spPr>
              <a:solidFill>
                <a:srgbClr val="78B536"/>
              </a:solidFill>
              <a:ln>
                <a:noFill/>
              </a:ln>
              <a:effectLst>
                <a:outerShdw sx="1000" sy="1000" algn="ctr" rotWithShape="0">
                  <a:schemeClr val="bg1"/>
                </a:outerShdw>
              </a:effectLst>
              <a:scene3d>
                <a:camera prst="orthographicFront"/>
                <a:lightRig rig="threePt" dir="t"/>
              </a:scene3d>
              <a:sp3d prstMaterial="metal"/>
            </c:spPr>
            <c:extLst>
              <c:ext xmlns:c16="http://schemas.microsoft.com/office/drawing/2014/chart" uri="{C3380CC4-5D6E-409C-BE32-E72D297353CC}">
                <c16:uniqueId val="{00000004-9F95-4D1F-98FF-15F0B20B99B9}"/>
              </c:ext>
            </c:extLst>
          </c:dPt>
          <c:dPt>
            <c:idx val="1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>
                <a:outerShdw sx="1000" sy="1000" algn="ctr" rotWithShape="0">
                  <a:schemeClr val="bg1"/>
                </a:outerShdw>
              </a:effectLst>
              <a:scene3d>
                <a:camera prst="orthographicFront"/>
                <a:lightRig rig="threePt" dir="t"/>
              </a:scene3d>
              <a:sp3d prstMaterial="metal"/>
            </c:spPr>
            <c:extLst>
              <c:ext xmlns:c16="http://schemas.microsoft.com/office/drawing/2014/chart" uri="{C3380CC4-5D6E-409C-BE32-E72D297353CC}">
                <c16:uniqueId val="{00000007-9F95-4D1F-98FF-15F0B20B99B9}"/>
              </c:ext>
            </c:extLst>
          </c:dPt>
          <c:dLbls>
            <c:dLbl>
              <c:idx val="0"/>
              <c:layout>
                <c:manualLayout>
                  <c:x val="1.7429193899782189E-2"/>
                  <c:y val="-9.3077387618215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95-4D1F-98FF-15F0B20B99B9}"/>
                </c:ext>
              </c:extLst>
            </c:dLbl>
            <c:dLbl>
              <c:idx val="1"/>
              <c:layout>
                <c:manualLayout>
                  <c:x val="2.9048656499636893E-2"/>
                  <c:y val="-8.8423518237304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95-4D1F-98FF-15F0B20B99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386800"/>
                    </a:solidFill>
                    <a:effectLst>
                      <a:outerShdw blurRad="50800" dist="50800" dir="5400000" sx="3000" sy="3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Calculos!$C$36:$C$38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Calculos!$E$36:$E$38</c:f>
              <c:numCache>
                <c:formatCode>General</c:formatCode>
                <c:ptCount val="2"/>
                <c:pt idx="0">
                  <c:v>111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95-4D1F-98FF-15F0B20B9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2099695"/>
        <c:axId val="792112175"/>
        <c:axId val="0"/>
      </c:bar3DChart>
      <c:catAx>
        <c:axId val="79209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58000"/>
                  </a:schemeClr>
                </a:solidFill>
                <a:effectLst>
                  <a:outerShdw blurRad="50800" dist="50800" dir="5400000" sx="3000" sy="3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112175"/>
        <c:crosses val="autoZero"/>
        <c:auto val="1"/>
        <c:lblAlgn val="ctr"/>
        <c:lblOffset val="100"/>
        <c:noMultiLvlLbl val="0"/>
      </c:catAx>
      <c:valAx>
        <c:axId val="79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in"/>
        <c:minorTickMark val="out"/>
        <c:tickLblPos val="low"/>
        <c:spPr>
          <a:noFill/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3000" sy="3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09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 anchor="t" anchorCtr="1"/>
    <a:lstStyle/>
    <a:p>
      <a:pPr>
        <a:defRPr>
          <a:effectLst>
            <a:outerShdw blurRad="50800" dist="50800" dir="5400000" sx="3000" sy="3000" algn="ctr" rotWithShape="0">
              <a:srgbClr val="000000">
                <a:alpha val="43137"/>
              </a:srgb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[Dashboad_Analise_Vendas_XBOX.xlsx]Calculos!tbl_venda_anual</c:name>
    <c:fmtId val="8"/>
  </c:pivotSource>
  <c:chart>
    <c:autoTitleDeleted val="1"/>
    <c:pivotFmts>
      <c:pivotFmt>
        <c:idx val="0"/>
        <c:spPr>
          <a:solidFill>
            <a:srgbClr val="59CAD8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8B536"/>
          </a:solidFill>
          <a:ln w="25400">
            <a:solidFill>
              <a:schemeClr val="lt1"/>
            </a:solidFill>
          </a:ln>
          <a:effectLst>
            <a:innerShdw blurRad="63500" dist="38100" dir="13500000">
              <a:prstClr val="black">
                <a:alpha val="50000"/>
              </a:prstClr>
            </a:innerShdw>
          </a:effectLst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150808903624753"/>
                  <c:h val="0.25375798687628498"/>
                </c:manualLayout>
              </c15:layout>
            </c:ext>
          </c:extLst>
        </c:dLbl>
      </c:pivotFmt>
      <c:pivotFmt>
        <c:idx val="2"/>
        <c:spPr>
          <a:solidFill>
            <a:srgbClr val="04C7C9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7.5691675866394276E-2"/>
              <c:y val="6.94900983936649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0393485492549133"/>
                  <c:h val="0.28850286508454354"/>
                </c:manualLayout>
              </c15:layout>
            </c:ext>
          </c:extLst>
        </c:dLbl>
      </c:pivotFmt>
      <c:pivotFmt>
        <c:idx val="3"/>
        <c:spPr>
          <a:solidFill>
            <a:srgbClr val="386800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-1.7467256916300258E-2"/>
              <c:y val="-3.474487820825861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605381198813146"/>
                  <c:h val="0.21901310866802637"/>
                </c:manualLayout>
              </c15:layout>
            </c:ext>
          </c:extLst>
        </c:dLbl>
      </c:pivotFmt>
      <c:pivotFmt>
        <c:idx val="4"/>
        <c:spPr>
          <a:solidFill>
            <a:srgbClr val="59CAD8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386800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-1.7467256916300258E-2"/>
              <c:y val="-3.474487820825861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605381198813146"/>
                  <c:h val="0.21901310866802637"/>
                </c:manualLayout>
              </c15:layout>
            </c:ext>
          </c:extLst>
        </c:dLbl>
      </c:pivotFmt>
      <c:pivotFmt>
        <c:idx val="6"/>
        <c:spPr>
          <a:solidFill>
            <a:srgbClr val="04C7C9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7.5691675866394276E-2"/>
              <c:y val="6.94900983936649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0393485492549133"/>
                  <c:h val="0.28850286508454354"/>
                </c:manualLayout>
              </c15:layout>
            </c:ext>
          </c:extLst>
        </c:dLbl>
      </c:pivotFmt>
      <c:pivotFmt>
        <c:idx val="7"/>
        <c:spPr>
          <a:solidFill>
            <a:srgbClr val="78B536"/>
          </a:solidFill>
          <a:ln w="25400">
            <a:solidFill>
              <a:schemeClr val="lt1"/>
            </a:solidFill>
          </a:ln>
          <a:effectLst>
            <a:innerShdw blurRad="63500" dist="38100" dir="13500000">
              <a:prstClr val="black">
                <a:alpha val="50000"/>
              </a:prstClr>
            </a:innerShdw>
          </a:effectLst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150808903624753"/>
                  <c:h val="0.25375798687628498"/>
                </c:manualLayout>
              </c15:layout>
            </c:ext>
          </c:extLst>
        </c:dLbl>
      </c:pivotFmt>
      <c:pivotFmt>
        <c:idx val="8"/>
        <c:spPr>
          <a:solidFill>
            <a:srgbClr val="59CAD8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386800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-0.38519213956425025"/>
              <c:y val="5.079370158100395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numCol="1" spcCol="7200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663588647999964"/>
                  <c:h val="0.32060024556954936"/>
                </c:manualLayout>
              </c15:layout>
            </c:ext>
          </c:extLst>
        </c:dLbl>
      </c:pivotFmt>
      <c:pivotFmt>
        <c:idx val="10"/>
        <c:spPr>
          <a:solidFill>
            <a:srgbClr val="04C7C9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5.738533632059957E-2"/>
              <c:y val="0.175310608431314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7261334198734921"/>
                  <c:h val="0.44934961398119966"/>
                </c:manualLayout>
              </c15:layout>
            </c:ext>
          </c:extLst>
        </c:dLbl>
      </c:pivotFmt>
      <c:pivotFmt>
        <c:idx val="11"/>
        <c:spPr>
          <a:solidFill>
            <a:srgbClr val="78B536"/>
          </a:solidFill>
          <a:ln w="25400">
            <a:solidFill>
              <a:schemeClr val="lt1"/>
            </a:solidFill>
          </a:ln>
          <a:effectLst>
            <a:innerShdw blurRad="63500" dist="38100" dir="13500000">
              <a:prstClr val="black">
                <a:alpha val="50000"/>
              </a:prstClr>
            </a:innerShdw>
          </a:effectLst>
          <a:scene3d>
            <a:camera prst="orthographicFront"/>
            <a:lightRig rig="threePt" dir="t"/>
          </a:scene3d>
          <a:sp3d contourW="25400">
            <a:bevelT/>
            <a:contourClr>
              <a:schemeClr val="lt1"/>
            </a:contourClr>
          </a:sp3d>
        </c:spPr>
        <c:dLbl>
          <c:idx val="0"/>
          <c:layout>
            <c:manualLayout>
              <c:x val="0.10463525031171536"/>
              <c:y val="3.577289749404407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7316492162991557"/>
                  <c:h val="0.36074393441879876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17734068666514"/>
          <c:y val="0.14980342437537744"/>
          <c:w val="0.54774352598637732"/>
          <c:h val="0.8024224996100483"/>
        </c:manualLayout>
      </c:layout>
      <c:pie3DChart>
        <c:varyColors val="1"/>
        <c:ser>
          <c:idx val="0"/>
          <c:order val="0"/>
          <c:tx>
            <c:strRef>
              <c:f>Calculos!$D$24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CAD8"/>
            </a:solidFill>
            <a:scene3d>
              <a:camera prst="orthographicFront"/>
              <a:lightRig rig="threePt" dir="t"/>
            </a:scene3d>
            <a:sp3d>
              <a:bevelT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rgbClr val="386800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C8-43DA-8702-759FCE05DC63}"/>
              </c:ext>
            </c:extLst>
          </c:dPt>
          <c:dPt>
            <c:idx val="1"/>
            <c:bubble3D val="0"/>
            <c:spPr>
              <a:solidFill>
                <a:srgbClr val="04C7C9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bevelT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C8-43DA-8702-759FCE05DC63}"/>
              </c:ext>
            </c:extLst>
          </c:dPt>
          <c:dPt>
            <c:idx val="2"/>
            <c:bubble3D val="0"/>
            <c:spPr>
              <a:solidFill>
                <a:srgbClr val="78B536"/>
              </a:solidFill>
              <a:ln w="25400">
                <a:solidFill>
                  <a:schemeClr val="lt1"/>
                </a:solidFill>
              </a:ln>
              <a:effectLst>
                <a:innerShdw blurRad="63500" dist="38100" dir="13500000">
                  <a:prstClr val="black">
                    <a:alpha val="50000"/>
                  </a:prstClr>
                </a:innerShdw>
              </a:effectLst>
              <a:scene3d>
                <a:camera prst="orthographicFront"/>
                <a:lightRig rig="threePt" dir="t"/>
              </a:scene3d>
              <a:sp3d contourW="25400">
                <a:bevelT/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4C8-43DA-8702-759FCE05DC63}"/>
              </c:ext>
            </c:extLst>
          </c:dPt>
          <c:dLbls>
            <c:dLbl>
              <c:idx val="0"/>
              <c:layout>
                <c:manualLayout>
                  <c:x val="-0.38519213956425025"/>
                  <c:y val="5.079370158100395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numCol="1" spcCol="7200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663588647999964"/>
                      <c:h val="0.320600245569549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4C8-43DA-8702-759FCE05DC63}"/>
                </c:ext>
              </c:extLst>
            </c:dLbl>
            <c:dLbl>
              <c:idx val="1"/>
              <c:layout>
                <c:manualLayout>
                  <c:x val="5.738533632059957E-2"/>
                  <c:y val="0.1753106084313141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261334198734921"/>
                      <c:h val="0.449349613981199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4C8-43DA-8702-759FCE05DC63}"/>
                </c:ext>
              </c:extLst>
            </c:dLbl>
            <c:dLbl>
              <c:idx val="2"/>
              <c:layout>
                <c:manualLayout>
                  <c:x val="0.10463525031171536"/>
                  <c:y val="3.577289749404407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316492162991557"/>
                      <c:h val="0.360743934418798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4C8-43DA-8702-759FCE05DC6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Calculos!$C$25:$C$28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Calculos!$D$25:$D$28</c:f>
              <c:numCache>
                <c:formatCode>_("R$"* #,##0.00_);_("R$"* \(#,##0.00\);_("R$"* "-"??_);_(@_)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C8-43DA-8702-759FCE05D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3.png"/><Relationship Id="rId6" Type="http://schemas.openxmlformats.org/officeDocument/2006/relationships/chart" Target="../charts/chart4.xml"/><Relationship Id="rId5" Type="http://schemas.openxmlformats.org/officeDocument/2006/relationships/image" Target="../media/image11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27</xdr:row>
      <xdr:rowOff>9525</xdr:rowOff>
    </xdr:from>
    <xdr:to>
      <xdr:col>11</xdr:col>
      <xdr:colOff>590550</xdr:colOff>
      <xdr:row>34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47F450-D434-9D29-554C-8B22E778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5648325"/>
          <a:ext cx="1381125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514351</xdr:colOff>
      <xdr:row>36</xdr:row>
      <xdr:rowOff>161925</xdr:rowOff>
    </xdr:from>
    <xdr:to>
      <xdr:col>9</xdr:col>
      <xdr:colOff>57151</xdr:colOff>
      <xdr:row>41</xdr:row>
      <xdr:rowOff>163390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E8937C-2051-CD75-796C-4AA4CD3B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8726" y="7515225"/>
          <a:ext cx="180975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13</xdr:col>
      <xdr:colOff>571172</xdr:colOff>
      <xdr:row>40</xdr:row>
      <xdr:rowOff>134710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6B532C1-DC34-3B6E-5E08-372BC2B17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0" y="7543800"/>
          <a:ext cx="2628571" cy="83809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19050</xdr:rowOff>
    </xdr:from>
    <xdr:to>
      <xdr:col>8</xdr:col>
      <xdr:colOff>798075</xdr:colOff>
      <xdr:row>33</xdr:row>
      <xdr:rowOff>114054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424EC35-11B4-B8C2-07E4-2850E83C3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33975" y="5657850"/>
          <a:ext cx="1626749" cy="1238004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42</xdr:row>
      <xdr:rowOff>168519</xdr:rowOff>
    </xdr:from>
    <xdr:to>
      <xdr:col>8</xdr:col>
      <xdr:colOff>486508</xdr:colOff>
      <xdr:row>49</xdr:row>
      <xdr:rowOff>54219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5ADCDFD-6587-4A0D-8394-9F4BFD68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7269" y="8675077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8</xdr:col>
      <xdr:colOff>778852</xdr:colOff>
      <xdr:row>42</xdr:row>
      <xdr:rowOff>153132</xdr:rowOff>
    </xdr:from>
    <xdr:to>
      <xdr:col>10</xdr:col>
      <xdr:colOff>672443</xdr:colOff>
      <xdr:row>46</xdr:row>
      <xdr:rowOff>143608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A353694-64AF-4F36-8CE2-B3DD6DA879E0}"/>
            </a:ext>
          </a:extLst>
        </xdr:cNvPr>
        <xdr:cNvGrpSpPr/>
      </xdr:nvGrpSpPr>
      <xdr:grpSpPr>
        <a:xfrm>
          <a:off x="7636852" y="8834489"/>
          <a:ext cx="1553662" cy="752476"/>
          <a:chOff x="3495675" y="5400674"/>
          <a:chExt cx="1549476" cy="75247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623D9E72-4E8F-47EC-7F23-9537C87997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0" name="Gráfico 9">
            <a:extLst>
              <a:ext uri="{FF2B5EF4-FFF2-40B4-BE49-F238E27FC236}">
                <a16:creationId xmlns:a16="http://schemas.microsoft.com/office/drawing/2014/main" id="{81A4C792-E5F3-C77D-27FB-43AC4706E6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36635</xdr:colOff>
      <xdr:row>48</xdr:row>
      <xdr:rowOff>153866</xdr:rowOff>
    </xdr:from>
    <xdr:to>
      <xdr:col>8</xdr:col>
      <xdr:colOff>587298</xdr:colOff>
      <xdr:row>53</xdr:row>
      <xdr:rowOff>8610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8F1AFB6-7608-1220-1E8B-4E6BA11D1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48654" y="9986597"/>
          <a:ext cx="1378605" cy="807244"/>
        </a:xfrm>
        <a:prstGeom prst="rect">
          <a:avLst/>
        </a:prstGeom>
      </xdr:spPr>
    </xdr:pic>
    <xdr:clientData/>
  </xdr:twoCellAnchor>
  <xdr:twoCellAnchor editAs="oneCell">
    <xdr:from>
      <xdr:col>7</xdr:col>
      <xdr:colOff>58615</xdr:colOff>
      <xdr:row>54</xdr:row>
      <xdr:rowOff>58616</xdr:rowOff>
    </xdr:from>
    <xdr:to>
      <xdr:col>8</xdr:col>
      <xdr:colOff>573082</xdr:colOff>
      <xdr:row>58</xdr:row>
      <xdr:rowOff>130258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74DE214-2FEF-7005-FCD6-3FA521A28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70634" y="10851174"/>
          <a:ext cx="1342409" cy="833642"/>
        </a:xfrm>
        <a:prstGeom prst="rect">
          <a:avLst/>
        </a:prstGeom>
      </xdr:spPr>
    </xdr:pic>
    <xdr:clientData/>
  </xdr:twoCellAnchor>
  <xdr:twoCellAnchor editAs="oneCell">
    <xdr:from>
      <xdr:col>10</xdr:col>
      <xdr:colOff>161192</xdr:colOff>
      <xdr:row>50</xdr:row>
      <xdr:rowOff>36635</xdr:rowOff>
    </xdr:from>
    <xdr:to>
      <xdr:col>11</xdr:col>
      <xdr:colOff>457060</xdr:colOff>
      <xdr:row>55</xdr:row>
      <xdr:rowOff>188897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44F35AE-5512-E1CA-7C94-C02FB10F4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57038" y="10250366"/>
          <a:ext cx="1123810" cy="1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400050</xdr:colOff>
      <xdr:row>240</xdr:row>
      <xdr:rowOff>76200</xdr:rowOff>
    </xdr:from>
    <xdr:to>
      <xdr:col>21</xdr:col>
      <xdr:colOff>704850</xdr:colOff>
      <xdr:row>249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480D8B6B-5CCA-4DF0-BCAE-429FAA5C615F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5</xdr:col>
      <xdr:colOff>208775</xdr:colOff>
      <xdr:row>15</xdr:row>
      <xdr:rowOff>28524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326500-E915-D795-511E-CC2E7C23A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524125"/>
          <a:ext cx="6200000" cy="409524"/>
        </a:xfrm>
        <a:prstGeom prst="rect">
          <a:avLst/>
        </a:prstGeom>
      </xdr:spPr>
    </xdr:pic>
    <xdr:clientData/>
  </xdr:twoCellAnchor>
  <xdr:twoCellAnchor editAs="absolute">
    <xdr:from>
      <xdr:col>5</xdr:col>
      <xdr:colOff>314326</xdr:colOff>
      <xdr:row>22</xdr:row>
      <xdr:rowOff>114300</xdr:rowOff>
    </xdr:from>
    <xdr:to>
      <xdr:col>8</xdr:col>
      <xdr:colOff>333375</xdr:colOff>
      <xdr:row>30</xdr:row>
      <xdr:rowOff>90486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84A0E5-FD95-2EC6-B4E4-1FE6A28E1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295274</xdr:colOff>
      <xdr:row>33</xdr:row>
      <xdr:rowOff>114300</xdr:rowOff>
    </xdr:from>
    <xdr:to>
      <xdr:col>9</xdr:col>
      <xdr:colOff>733424</xdr:colOff>
      <xdr:row>47</xdr:row>
      <xdr:rowOff>176212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C4D5D6-A9BF-CF5C-5098-14959A063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19049</xdr:colOff>
      <xdr:row>6</xdr:row>
      <xdr:rowOff>76200</xdr:rowOff>
    </xdr:from>
    <xdr:to>
      <xdr:col>0</xdr:col>
      <xdr:colOff>1876424</xdr:colOff>
      <xdr:row>13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69E5F4B-F3AB-42C5-AC2E-DC11D50946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9" y="1219200"/>
              <a:ext cx="1857375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57150</xdr:colOff>
      <xdr:row>0</xdr:row>
      <xdr:rowOff>57150</xdr:rowOff>
    </xdr:from>
    <xdr:to>
      <xdr:col>0</xdr:col>
      <xdr:colOff>689776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F91C6A-0C0B-7B3B-E8C5-BBCD204BB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2000"/>
                  </a14:imgEffect>
                  <a14:imgEffect>
                    <a14:brightnessContrast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50" y="57150"/>
          <a:ext cx="632626" cy="638175"/>
        </a:xfrm>
        <a:prstGeom prst="rect">
          <a:avLst/>
        </a:prstGeom>
      </xdr:spPr>
    </xdr:pic>
    <xdr:clientData/>
  </xdr:twoCellAnchor>
  <xdr:twoCellAnchor editAs="absolute">
    <xdr:from>
      <xdr:col>1</xdr:col>
      <xdr:colOff>419100</xdr:colOff>
      <xdr:row>27</xdr:row>
      <xdr:rowOff>123825</xdr:rowOff>
    </xdr:from>
    <xdr:to>
      <xdr:col>18</xdr:col>
      <xdr:colOff>361950</xdr:colOff>
      <xdr:row>44</xdr:row>
      <xdr:rowOff>123824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DC429A0C-C082-5D0B-A46E-3C0DB9D68F18}"/>
            </a:ext>
          </a:extLst>
        </xdr:cNvPr>
        <xdr:cNvGrpSpPr/>
      </xdr:nvGrpSpPr>
      <xdr:grpSpPr>
        <a:xfrm>
          <a:off x="2419350" y="5267325"/>
          <a:ext cx="10306050" cy="3238499"/>
          <a:chOff x="2514600" y="3562349"/>
          <a:chExt cx="11049000" cy="3609975"/>
        </a:xfrm>
      </xdr:grpSpPr>
      <xdr:sp macro="" textlink="">
        <xdr:nvSpPr>
          <xdr:cNvPr id="2" name="Retângulo: Cantos Superiores Arredondados 1">
            <a:extLst>
              <a:ext uri="{FF2B5EF4-FFF2-40B4-BE49-F238E27FC236}">
                <a16:creationId xmlns:a16="http://schemas.microsoft.com/office/drawing/2014/main" id="{DC9112FC-6086-E89F-BC52-A6AEE028645F}"/>
              </a:ext>
            </a:extLst>
          </xdr:cNvPr>
          <xdr:cNvSpPr/>
        </xdr:nvSpPr>
        <xdr:spPr>
          <a:xfrm>
            <a:off x="2514600" y="3562349"/>
            <a:ext cx="11049000" cy="3609975"/>
          </a:xfrm>
          <a:prstGeom prst="round2SameRect">
            <a:avLst>
              <a:gd name="adj1" fmla="val 6790"/>
              <a:gd name="adj2" fmla="val 0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D51AEF41-5486-47AE-AE92-13B91F0BAE99}"/>
              </a:ext>
            </a:extLst>
          </xdr:cNvPr>
          <xdr:cNvSpPr/>
        </xdr:nvSpPr>
        <xdr:spPr>
          <a:xfrm>
            <a:off x="2514600" y="3562350"/>
            <a:ext cx="11049000" cy="504825"/>
          </a:xfrm>
          <a:prstGeom prst="roundRect">
            <a:avLst/>
          </a:prstGeom>
          <a:solidFill>
            <a:srgbClr val="11791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rgbClr val="59CAD8"/>
                </a:solidFill>
                <a:latin typeface="Franklin Gothic Demi" panose="020B0703020102020204" pitchFamily="34" charset="0"/>
              </a:rPr>
              <a:t>TOTAL </a:t>
            </a:r>
            <a:r>
              <a:rPr lang="pt-BR" sz="1400" baseline="0">
                <a:solidFill>
                  <a:srgbClr val="59CAD8"/>
                </a:solidFill>
                <a:latin typeface="Franklin Gothic Demi" panose="020B0703020102020204" pitchFamily="34" charset="0"/>
              </a:rPr>
              <a:t> SUBSCRIPTION  XBOX  GAME  PASS</a:t>
            </a:r>
          </a:p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C8991D78-5199-4824-8346-9A1B8B95760F}"/>
              </a:ext>
            </a:extLst>
          </xdr:cNvPr>
          <xdr:cNvGraphicFramePr>
            <a:graphicFrameLocks/>
          </xdr:cNvGraphicFramePr>
        </xdr:nvGraphicFramePr>
        <xdr:xfrm>
          <a:off x="3181351" y="4295775"/>
          <a:ext cx="8743950" cy="27289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1</xdr:col>
      <xdr:colOff>438150</xdr:colOff>
      <xdr:row>6</xdr:row>
      <xdr:rowOff>0</xdr:rowOff>
    </xdr:from>
    <xdr:to>
      <xdr:col>10</xdr:col>
      <xdr:colOff>9525</xdr:colOff>
      <xdr:row>17</xdr:row>
      <xdr:rowOff>76200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64E12FD9-FE10-358B-4F19-1B46AB2794EC}"/>
            </a:ext>
          </a:extLst>
        </xdr:cNvPr>
        <xdr:cNvGrpSpPr/>
      </xdr:nvGrpSpPr>
      <xdr:grpSpPr>
        <a:xfrm>
          <a:off x="2438400" y="1143000"/>
          <a:ext cx="5057775" cy="2171700"/>
          <a:chOff x="2400300" y="704850"/>
          <a:chExt cx="5057775" cy="1495426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50035249-5C31-0AD1-9396-7A89DA3E4FF7}"/>
              </a:ext>
            </a:extLst>
          </xdr:cNvPr>
          <xdr:cNvGrpSpPr/>
        </xdr:nvGrpSpPr>
        <xdr:grpSpPr>
          <a:xfrm>
            <a:off x="2400300" y="704850"/>
            <a:ext cx="5057775" cy="1495426"/>
            <a:chOff x="2447925" y="704850"/>
            <a:chExt cx="5420882" cy="1495426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F842500C-A2B6-4D4A-E20A-38D0E24EFEEE}"/>
                </a:ext>
              </a:extLst>
            </xdr:cNvPr>
            <xdr:cNvSpPr/>
          </xdr:nvSpPr>
          <xdr:spPr>
            <a:xfrm>
              <a:off x="2447925" y="713067"/>
              <a:ext cx="5420882" cy="1487209"/>
            </a:xfrm>
            <a:prstGeom prst="roundRect">
              <a:avLst>
                <a:gd name="adj" fmla="val 1824"/>
              </a:avLst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 </a:t>
              </a:r>
            </a:p>
          </xdr:txBody>
        </xdr:sp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38776338-FE86-643E-89EA-C268C37197EB}"/>
                </a:ext>
              </a:extLst>
            </xdr:cNvPr>
            <xdr:cNvSpPr/>
          </xdr:nvSpPr>
          <xdr:spPr>
            <a:xfrm>
              <a:off x="2458057" y="704850"/>
              <a:ext cx="5400617" cy="385917"/>
            </a:xfrm>
            <a:prstGeom prst="roundRect">
              <a:avLst/>
            </a:prstGeom>
            <a:solidFill>
              <a:srgbClr val="1179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solidFill>
                    <a:srgbClr val="59CAD8"/>
                  </a:solidFill>
                  <a:latin typeface="Franklin Gothic Demi" panose="020B0703020102020204" pitchFamily="34" charset="0"/>
                </a:rPr>
                <a:t>TOTAL </a:t>
              </a:r>
              <a:r>
                <a:rPr lang="pt-BR" sz="1400" baseline="0">
                  <a:solidFill>
                    <a:srgbClr val="59CAD8"/>
                  </a:solidFill>
                  <a:latin typeface="Franklin Gothic Demi" panose="020B0703020102020204" pitchFamily="34" charset="0"/>
                </a:rPr>
                <a:t> SUBSCRIPTION   XBOX </a:t>
              </a:r>
            </a:p>
            <a:p>
              <a:pPr algn="l"/>
              <a:endParaRPr lang="pt-BR" sz="1100"/>
            </a:p>
          </xdr:txBody>
        </xdr:sp>
        <xdr:sp macro="" textlink="Calculos!H112">
          <xdr:nvSpPr>
            <xdr:cNvPr id="23" name="CaixaDeTexto 22">
              <a:extLst>
                <a:ext uri="{FF2B5EF4-FFF2-40B4-BE49-F238E27FC236}">
                  <a16:creationId xmlns:a16="http://schemas.microsoft.com/office/drawing/2014/main" id="{81953F48-561D-20D4-ED34-B0C4FCEBC29D}"/>
                </a:ext>
              </a:extLst>
            </xdr:cNvPr>
            <xdr:cNvSpPr txBox="1"/>
          </xdr:nvSpPr>
          <xdr:spPr>
            <a:xfrm>
              <a:off x="6123669" y="1491736"/>
              <a:ext cx="1286781" cy="443698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  <a:effectLst>
              <a:outerShdw blurRad="107950" dist="12700" dir="5400000" algn="ctr">
                <a:srgbClr val="000000"/>
              </a:outerShdw>
            </a:effectLst>
            <a:scene3d>
              <a:camera prst="orthographicFront">
                <a:rot lat="0" lon="0" rev="0"/>
              </a:camera>
              <a:lightRig rig="soft" dir="t">
                <a:rot lat="0" lon="0" rev="0"/>
              </a:lightRig>
            </a:scene3d>
            <a:sp3d contourW="44450" prstMaterial="matte">
              <a:bevelT w="63500" h="63500"/>
              <a:contourClr>
                <a:srgbClr val="FFFFFF"/>
              </a:contourClr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C3651485-4AB7-4300-A3E8-4BF5FDDDD0B4}" type="TxLink">
                <a:rPr lang="en-US" sz="2400" b="0" i="0" u="none" strike="noStrike">
                  <a:solidFill>
                    <a:srgbClr val="78B536"/>
                  </a:solidFill>
                  <a:latin typeface="Franklin Gothic Demi" panose="020B0703020102020204" pitchFamily="34" charset="0"/>
                  <a:ea typeface="+mn-ea"/>
                  <a:cs typeface="Calibri"/>
                </a:rPr>
                <a:pPr marL="0" indent="0" algn="ctr"/>
                <a:t>139</a:t>
              </a:fld>
              <a:endParaRPr lang="pt-BR" sz="2400" b="0" i="0" u="none" strike="noStrike">
                <a:solidFill>
                  <a:srgbClr val="78B536"/>
                </a:solidFill>
                <a:latin typeface="Franklin Gothic Demi" panose="020B0703020102020204" pitchFamily="34" charset="0"/>
                <a:ea typeface="+mn-ea"/>
                <a:cs typeface="Calibri"/>
              </a:endParaRPr>
            </a:p>
          </xdr:txBody>
        </xdr:sp>
        <xdr:sp macro="" textlink="Calculos!H111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0AD06BF4-E72D-4602-B196-1C215115E063}"/>
                </a:ext>
              </a:extLst>
            </xdr:cNvPr>
            <xdr:cNvSpPr txBox="1"/>
          </xdr:nvSpPr>
          <xdr:spPr>
            <a:xfrm>
              <a:off x="2962275" y="1491736"/>
              <a:ext cx="2105025" cy="443698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  <a:effectLst>
              <a:outerShdw blurRad="107950" dist="12700" dir="5400000" algn="ctr">
                <a:srgbClr val="000000"/>
              </a:outerShdw>
            </a:effectLst>
            <a:scene3d>
              <a:camera prst="orthographicFront">
                <a:rot lat="0" lon="0" rev="0"/>
              </a:camera>
              <a:lightRig rig="soft" dir="t">
                <a:rot lat="0" lon="0" rev="0"/>
              </a:lightRig>
            </a:scene3d>
            <a:sp3d contourW="44450" prstMaterial="matte">
              <a:bevelT w="63500" h="63500"/>
              <a:contourClr>
                <a:srgbClr val="FFFFFF"/>
              </a:contourClr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4659F6E-41FD-4090-BD69-2BD4A1CB8205}" type="TxLink">
                <a:rPr lang="en-US" sz="2400" b="0" i="0" u="none" strike="noStrike">
                  <a:solidFill>
                    <a:srgbClr val="78B536"/>
                  </a:solidFill>
                  <a:latin typeface="Franklin Gothic Demi" panose="020B0703020102020204" pitchFamily="34" charset="0"/>
                  <a:cs typeface="Calibri"/>
                </a:rPr>
                <a:pPr algn="ctr"/>
                <a:t> R$ 3.571,00 </a:t>
              </a:fld>
              <a:endParaRPr lang="pt-BR" sz="2400">
                <a:solidFill>
                  <a:srgbClr val="78B536"/>
                </a:solidFill>
                <a:latin typeface="Franklin Gothic Demi" panose="020B0703020102020204" pitchFamily="34" charset="0"/>
              </a:endParaRPr>
            </a:p>
          </xdr:txBody>
        </xdr:sp>
      </xdr:grpSp>
      <xdr:sp macro="" textlink="">
        <xdr:nvSpPr>
          <xdr:cNvPr id="35" name="CaixaDeTexto 34">
            <a:extLst>
              <a:ext uri="{FF2B5EF4-FFF2-40B4-BE49-F238E27FC236}">
                <a16:creationId xmlns:a16="http://schemas.microsoft.com/office/drawing/2014/main" id="{C58B3FB0-7F17-0A6B-503E-760B78EECC28}"/>
              </a:ext>
            </a:extLst>
          </xdr:cNvPr>
          <xdr:cNvSpPr txBox="1"/>
        </xdr:nvSpPr>
        <xdr:spPr>
          <a:xfrm>
            <a:off x="5915025" y="1162050"/>
            <a:ext cx="1000125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900" b="1">
                <a:ln>
                  <a:noFill/>
                </a:ln>
                <a:solidFill>
                  <a:schemeClr val="tx1">
                    <a:lumMod val="50000"/>
                    <a:lumOff val="50000"/>
                  </a:schemeClr>
                </a:solidFill>
                <a:latin typeface="Calisto MT" panose="02040603050505030304" pitchFamily="18" charset="0"/>
              </a:rPr>
              <a:t>Total</a:t>
            </a:r>
          </a:p>
        </xdr:txBody>
      </xdr:sp>
    </xdr:grpSp>
    <xdr:clientData/>
  </xdr:twoCellAnchor>
  <xdr:twoCellAnchor editAs="absolute">
    <xdr:from>
      <xdr:col>1</xdr:col>
      <xdr:colOff>428626</xdr:colOff>
      <xdr:row>18</xdr:row>
      <xdr:rowOff>76200</xdr:rowOff>
    </xdr:from>
    <xdr:to>
      <xdr:col>10</xdr:col>
      <xdr:colOff>38100</xdr:colOff>
      <xdr:row>26</xdr:row>
      <xdr:rowOff>114301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84D8AD14-85C1-09DB-0D86-F3B39E45D06A}"/>
            </a:ext>
          </a:extLst>
        </xdr:cNvPr>
        <xdr:cNvGrpSpPr/>
      </xdr:nvGrpSpPr>
      <xdr:grpSpPr>
        <a:xfrm>
          <a:off x="2428876" y="3505200"/>
          <a:ext cx="5095874" cy="1562101"/>
          <a:chOff x="2390776" y="2333625"/>
          <a:chExt cx="5095874" cy="1562101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C7063665-C586-DAB7-204B-685FC7A39B7E}"/>
              </a:ext>
            </a:extLst>
          </xdr:cNvPr>
          <xdr:cNvGrpSpPr/>
        </xdr:nvGrpSpPr>
        <xdr:grpSpPr>
          <a:xfrm>
            <a:off x="2390776" y="2333625"/>
            <a:ext cx="5095874" cy="1562101"/>
            <a:chOff x="2390776" y="2333625"/>
            <a:chExt cx="5095874" cy="1562101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FD39CEA4-7D78-0921-6F62-BFE7547E33A6}"/>
                </a:ext>
              </a:extLst>
            </xdr:cNvPr>
            <xdr:cNvGrpSpPr/>
          </xdr:nvGrpSpPr>
          <xdr:grpSpPr>
            <a:xfrm>
              <a:off x="2390776" y="2333625"/>
              <a:ext cx="5095874" cy="1562101"/>
              <a:chOff x="2628901" y="533400"/>
              <a:chExt cx="5095874" cy="1733551"/>
            </a:xfrm>
          </xdr:grpSpPr>
          <xdr:sp macro="" textlink="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39F5CB62-96BA-50E5-54C9-F68F4D81DC4F}"/>
                  </a:ext>
                </a:extLst>
              </xdr:cNvPr>
              <xdr:cNvSpPr/>
            </xdr:nvSpPr>
            <xdr:spPr>
              <a:xfrm>
                <a:off x="2628901" y="542925"/>
                <a:ext cx="5095874" cy="1724026"/>
              </a:xfrm>
              <a:prstGeom prst="roundRect">
                <a:avLst>
                  <a:gd name="adj" fmla="val 1824"/>
                </a:avLst>
              </a:prstGeom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sz="1100"/>
                  <a:t> </a:t>
                </a:r>
              </a:p>
            </xdr:txBody>
          </xdr:sp>
          <xdr:sp macro="" textlink="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68E6BAC9-6EA4-C7C8-9511-BE1C201940CD}"/>
                  </a:ext>
                </a:extLst>
              </xdr:cNvPr>
              <xdr:cNvSpPr/>
            </xdr:nvSpPr>
            <xdr:spPr>
              <a:xfrm>
                <a:off x="2638426" y="533400"/>
                <a:ext cx="5076824" cy="504825"/>
              </a:xfrm>
              <a:prstGeom prst="roundRect">
                <a:avLst/>
              </a:prstGeom>
              <a:solidFill>
                <a:srgbClr val="11791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400">
                    <a:solidFill>
                      <a:srgbClr val="59CAD8"/>
                    </a:solidFill>
                    <a:latin typeface="Franklin Gothic Demi" panose="020B0703020102020204" pitchFamily="34" charset="0"/>
                  </a:rPr>
                  <a:t>TOTAL </a:t>
                </a:r>
                <a:r>
                  <a:rPr lang="pt-BR" sz="1400" baseline="0">
                    <a:solidFill>
                      <a:srgbClr val="59CAD8"/>
                    </a:solidFill>
                    <a:latin typeface="Franklin Gothic Demi" panose="020B0703020102020204" pitchFamily="34" charset="0"/>
                  </a:rPr>
                  <a:t> SUBSCRIPTION  EA  PLAY  SEASON  PASS</a:t>
                </a:r>
              </a:p>
              <a:p>
                <a:pPr algn="l"/>
                <a:endParaRPr lang="pt-BR" sz="1100"/>
              </a:p>
            </xdr:txBody>
          </xdr:sp>
          <xdr:pic>
            <xdr:nvPicPr>
              <xdr:cNvPr id="9" name="Imagem 8">
                <a:extLst>
                  <a:ext uri="{FF2B5EF4-FFF2-40B4-BE49-F238E27FC236}">
                    <a16:creationId xmlns:a16="http://schemas.microsoft.com/office/drawing/2014/main" id="{7583FCFF-0311-4750-B6BD-0188AC3B740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819400" y="1319677"/>
                <a:ext cx="1378605" cy="807244"/>
              </a:xfrm>
              <a:prstGeom prst="rect">
                <a:avLst/>
              </a:prstGeom>
              <a:effectLst>
                <a:outerShdw blurRad="190500" dir="1140000" sx="101000" sy="101000" algn="ctr" rotWithShape="0">
                  <a:srgbClr val="000000">
                    <a:alpha val="97000"/>
                  </a:srgbClr>
                </a:outerShdw>
                <a:softEdge rad="88900"/>
              </a:effectLst>
            </xdr:spPr>
          </xdr:pic>
          <xdr:sp macro="" textlink="Calculos!H59">
            <xdr:nvSpPr>
              <xdr:cNvPr id="13" name="CaixaDeTexto 12">
                <a:extLst>
                  <a:ext uri="{FF2B5EF4-FFF2-40B4-BE49-F238E27FC236}">
                    <a16:creationId xmlns:a16="http://schemas.microsoft.com/office/drawing/2014/main" id="{3DA29E9A-8C3A-5FDF-9A9A-EB17D5A41C21}"/>
                  </a:ext>
                </a:extLst>
              </xdr:cNvPr>
              <xdr:cNvSpPr txBox="1"/>
            </xdr:nvSpPr>
            <xdr:spPr>
              <a:xfrm>
                <a:off x="4381500" y="1504834"/>
                <a:ext cx="2105025" cy="514350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noFill/>
              </a:ln>
              <a:effectLst>
                <a:outerShdw blurRad="107950" dist="12700" dir="5400000" algn="ctr">
                  <a:srgbClr val="000000"/>
                </a:outerShdw>
              </a:effectLst>
              <a:scene3d>
                <a:camera prst="orthographicFront">
                  <a:rot lat="0" lon="0" rev="0"/>
                </a:camera>
                <a:lightRig rig="soft" dir="t">
                  <a:rot lat="0" lon="0" rev="0"/>
                </a:lightRig>
              </a:scene3d>
              <a:sp3d contourW="44450" prstMaterial="matte">
                <a:bevelT w="63500" h="63500"/>
                <a:contourClr>
                  <a:srgbClr val="FFFFFF"/>
                </a:contourClr>
              </a:sp3d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55363018-4D51-464D-99DE-DF51ECAEB38C}" type="TxLink">
                  <a:rPr lang="en-US" sz="2400" b="0" i="0" u="none" strike="noStrike">
                    <a:solidFill>
                      <a:srgbClr val="78B536"/>
                    </a:solidFill>
                    <a:latin typeface="Franklin Gothic Demi" panose="020B0703020102020204" pitchFamily="34" charset="0"/>
                    <a:cs typeface="Calibri"/>
                  </a:rPr>
                  <a:pPr/>
                  <a:t> R$ 1.350,00 </a:t>
                </a:fld>
                <a:endParaRPr lang="pt-BR" sz="2400">
                  <a:solidFill>
                    <a:srgbClr val="78B536"/>
                  </a:solidFill>
                  <a:latin typeface="Franklin Gothic Demi" panose="020B0703020102020204" pitchFamily="34" charset="0"/>
                </a:endParaRPr>
              </a:p>
            </xdr:txBody>
          </xdr:sp>
        </xdr:grpSp>
        <xdr:sp macro="" textlink="Calculos!J59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84DF5BBB-860B-4237-BE05-9A35010CD39E}"/>
                </a:ext>
              </a:extLst>
            </xdr:cNvPr>
            <xdr:cNvSpPr txBox="1"/>
          </xdr:nvSpPr>
          <xdr:spPr>
            <a:xfrm>
              <a:off x="6496052" y="3208983"/>
              <a:ext cx="828674" cy="463480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  <a:effectLst>
              <a:outerShdw blurRad="107950" dist="12700" dir="5400000" algn="ctr">
                <a:srgbClr val="000000"/>
              </a:outerShdw>
            </a:effectLst>
            <a:scene3d>
              <a:camera prst="orthographicFront">
                <a:rot lat="0" lon="0" rev="0"/>
              </a:camera>
              <a:lightRig rig="soft" dir="t">
                <a:rot lat="0" lon="0" rev="0"/>
              </a:lightRig>
            </a:scene3d>
            <a:sp3d contourW="44450" prstMaterial="matte">
              <a:bevelT w="63500" h="63500"/>
              <a:contourClr>
                <a:srgbClr val="FFFFFF"/>
              </a:contourClr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AD762D1E-9227-497C-84E5-9B331252175B}" type="TxLink">
                <a:rPr lang="en-US" sz="2400" b="0" i="0" u="none" strike="noStrike">
                  <a:solidFill>
                    <a:srgbClr val="78B536"/>
                  </a:solidFill>
                  <a:latin typeface="Franklin Gothic Demi" panose="020B0703020102020204" pitchFamily="34" charset="0"/>
                  <a:ea typeface="+mn-ea"/>
                  <a:cs typeface="Calibri"/>
                </a:rPr>
                <a:pPr marL="0" indent="0" algn="ctr"/>
                <a:t>45</a:t>
              </a:fld>
              <a:endParaRPr lang="pt-BR" sz="2400" b="0" i="0" u="none" strike="noStrike">
                <a:solidFill>
                  <a:srgbClr val="78B536"/>
                </a:solidFill>
                <a:latin typeface="Franklin Gothic Demi" panose="020B0703020102020204" pitchFamily="34" charset="0"/>
                <a:ea typeface="+mn-ea"/>
                <a:cs typeface="Calibri"/>
              </a:endParaRPr>
            </a:p>
          </xdr:txBody>
        </xdr:sp>
      </xdr:grp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49BB0FBA-75FF-4093-9809-9FF0B21FF635}"/>
              </a:ext>
            </a:extLst>
          </xdr:cNvPr>
          <xdr:cNvSpPr txBox="1"/>
        </xdr:nvSpPr>
        <xdr:spPr>
          <a:xfrm>
            <a:off x="6410325" y="2857500"/>
            <a:ext cx="1000125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900" b="1">
                <a:ln>
                  <a:noFill/>
                </a:ln>
                <a:solidFill>
                  <a:schemeClr val="tx1">
                    <a:lumMod val="50000"/>
                    <a:lumOff val="50000"/>
                  </a:schemeClr>
                </a:solidFill>
                <a:latin typeface="Calisto MT" panose="02040603050505030304" pitchFamily="18" charset="0"/>
              </a:rPr>
              <a:t>Total</a:t>
            </a:r>
          </a:p>
        </xdr:txBody>
      </xdr:sp>
    </xdr:grpSp>
    <xdr:clientData/>
  </xdr:twoCellAnchor>
  <xdr:twoCellAnchor editAs="absolute">
    <xdr:from>
      <xdr:col>10</xdr:col>
      <xdr:colOff>323851</xdr:colOff>
      <xdr:row>18</xdr:row>
      <xdr:rowOff>85725</xdr:rowOff>
    </xdr:from>
    <xdr:to>
      <xdr:col>18</xdr:col>
      <xdr:colOff>342900</xdr:colOff>
      <xdr:row>26</xdr:row>
      <xdr:rowOff>123826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A1A4F7E9-9478-3D19-A6DB-A83E32FBDE99}"/>
            </a:ext>
          </a:extLst>
        </xdr:cNvPr>
        <xdr:cNvGrpSpPr/>
      </xdr:nvGrpSpPr>
      <xdr:grpSpPr>
        <a:xfrm>
          <a:off x="7810501" y="3514725"/>
          <a:ext cx="4895849" cy="1562101"/>
          <a:chOff x="7724776" y="2362200"/>
          <a:chExt cx="4895849" cy="1562101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79FFB88A-0659-C7A6-AEAF-F6D8FA09B544}"/>
              </a:ext>
            </a:extLst>
          </xdr:cNvPr>
          <xdr:cNvGrpSpPr/>
        </xdr:nvGrpSpPr>
        <xdr:grpSpPr>
          <a:xfrm>
            <a:off x="7724776" y="2362200"/>
            <a:ext cx="4895849" cy="1562101"/>
            <a:chOff x="8591551" y="2295525"/>
            <a:chExt cx="4895849" cy="1562101"/>
          </a:xfrm>
        </xdr:grpSpPr>
        <xdr:grpSp>
          <xdr:nvGrpSpPr>
            <xdr:cNvPr id="21" name="Agrupar 20">
              <a:extLst>
                <a:ext uri="{FF2B5EF4-FFF2-40B4-BE49-F238E27FC236}">
                  <a16:creationId xmlns:a16="http://schemas.microsoft.com/office/drawing/2014/main" id="{786D2409-0313-7A0A-67D7-8D0170E44DEA}"/>
                </a:ext>
              </a:extLst>
            </xdr:cNvPr>
            <xdr:cNvGrpSpPr/>
          </xdr:nvGrpSpPr>
          <xdr:grpSpPr>
            <a:xfrm>
              <a:off x="8591551" y="2295525"/>
              <a:ext cx="4895849" cy="1562101"/>
              <a:chOff x="8601076" y="1228725"/>
              <a:chExt cx="5095874" cy="1733551"/>
            </a:xfrm>
          </xdr:grpSpPr>
          <xdr:grpSp>
            <xdr:nvGrpSpPr>
              <xdr:cNvPr id="15" name="Agrupar 14">
                <a:extLst>
                  <a:ext uri="{FF2B5EF4-FFF2-40B4-BE49-F238E27FC236}">
                    <a16:creationId xmlns:a16="http://schemas.microsoft.com/office/drawing/2014/main" id="{A6A1365C-361F-4476-9CBC-04BEAA48A114}"/>
                  </a:ext>
                </a:extLst>
              </xdr:cNvPr>
              <xdr:cNvGrpSpPr/>
            </xdr:nvGrpSpPr>
            <xdr:grpSpPr>
              <a:xfrm>
                <a:off x="8601076" y="1228725"/>
                <a:ext cx="5095874" cy="1733551"/>
                <a:chOff x="2628901" y="533400"/>
                <a:chExt cx="5095874" cy="1733551"/>
              </a:xfrm>
            </xdr:grpSpPr>
            <xdr:sp macro="" textlink="">
              <xdr:nvSpPr>
                <xdr:cNvPr id="16" name="Retângulo: Cantos Arredondados 15">
                  <a:extLst>
                    <a:ext uri="{FF2B5EF4-FFF2-40B4-BE49-F238E27FC236}">
                      <a16:creationId xmlns:a16="http://schemas.microsoft.com/office/drawing/2014/main" id="{627A7806-0AE5-EAD7-1B7F-D8A10C4DBA8A}"/>
                    </a:ext>
                  </a:extLst>
                </xdr:cNvPr>
                <xdr:cNvSpPr/>
              </xdr:nvSpPr>
              <xdr:spPr>
                <a:xfrm>
                  <a:off x="2628901" y="542925"/>
                  <a:ext cx="5095874" cy="1724026"/>
                </a:xfrm>
                <a:prstGeom prst="roundRect">
                  <a:avLst>
                    <a:gd name="adj" fmla="val 1824"/>
                  </a:avLst>
                </a:prstGeom>
                <a:ln>
                  <a:noFill/>
                </a:ln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100"/>
                    <a:t> </a:t>
                  </a:r>
                </a:p>
              </xdr:txBody>
            </xdr:sp>
            <xdr:sp macro="" textlink="">
              <xdr:nvSpPr>
                <xdr:cNvPr id="17" name="Retângulo: Cantos Arredondados 16">
                  <a:extLst>
                    <a:ext uri="{FF2B5EF4-FFF2-40B4-BE49-F238E27FC236}">
                      <a16:creationId xmlns:a16="http://schemas.microsoft.com/office/drawing/2014/main" id="{95B4D3AC-3721-2C77-4F81-6427E871A40A}"/>
                    </a:ext>
                  </a:extLst>
                </xdr:cNvPr>
                <xdr:cNvSpPr/>
              </xdr:nvSpPr>
              <xdr:spPr>
                <a:xfrm>
                  <a:off x="2638426" y="533400"/>
                  <a:ext cx="5076824" cy="504825"/>
                </a:xfrm>
                <a:prstGeom prst="roundRect">
                  <a:avLst/>
                </a:prstGeom>
                <a:solidFill>
                  <a:srgbClr val="11791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BR" sz="1400">
                      <a:solidFill>
                        <a:srgbClr val="59CAD8"/>
                      </a:solidFill>
                      <a:latin typeface="Franklin Gothic Demi" panose="020B0703020102020204" pitchFamily="34" charset="0"/>
                    </a:rPr>
                    <a:t>TOTAL</a:t>
                  </a:r>
                  <a:r>
                    <a:rPr lang="pt-BR" sz="1400" baseline="0">
                      <a:solidFill>
                        <a:srgbClr val="59CAD8"/>
                      </a:solidFill>
                      <a:latin typeface="Franklin Gothic Demi" panose="020B0703020102020204" pitchFamily="34" charset="0"/>
                    </a:rPr>
                    <a:t>  SUBSCRIPTION  MINECRAFT  SEASON  PASS</a:t>
                  </a:r>
                </a:p>
                <a:p>
                  <a:pPr algn="l"/>
                  <a:endParaRPr lang="pt-BR" sz="1100"/>
                </a:p>
              </xdr:txBody>
            </xdr:sp>
            <xdr:sp macro="" textlink="Calculos!H73">
              <xdr:nvSpPr>
                <xdr:cNvPr id="19" name="CaixaDeTexto 18">
                  <a:extLst>
                    <a:ext uri="{FF2B5EF4-FFF2-40B4-BE49-F238E27FC236}">
                      <a16:creationId xmlns:a16="http://schemas.microsoft.com/office/drawing/2014/main" id="{1804FD68-BA03-33B3-2534-74FBD437C0F3}"/>
                    </a:ext>
                  </a:extLst>
                </xdr:cNvPr>
                <xdr:cNvSpPr txBox="1"/>
              </xdr:nvSpPr>
              <xdr:spPr>
                <a:xfrm>
                  <a:off x="4102758" y="1504834"/>
                  <a:ext cx="2105025" cy="514350"/>
                </a:xfrm>
                <a:prstGeom prst="rect">
                  <a:avLst/>
                </a:prstGeom>
                <a:solidFill>
                  <a:schemeClr val="bg1"/>
                </a:solidFill>
                <a:ln w="9525" cmpd="sng">
                  <a:noFill/>
                </a:ln>
                <a:effectLst>
                  <a:outerShdw blurRad="107950" dist="12700" dir="5400000" algn="ctr">
                    <a:srgbClr val="000000"/>
                  </a:outerShdw>
                </a:effectLst>
                <a:scene3d>
                  <a:camera prst="orthographicFront">
                    <a:rot lat="0" lon="0" rev="0"/>
                  </a:camera>
                  <a:lightRig rig="soft" dir="t">
                    <a:rot lat="0" lon="0" rev="0"/>
                  </a:lightRig>
                </a:scene3d>
                <a:sp3d contourW="44450" prstMaterial="matte">
                  <a:bevelT w="63500" h="63500"/>
                  <a:contourClr>
                    <a:srgbClr val="FFFFFF"/>
                  </a:contourClr>
                </a:sp3d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fld id="{1671988A-8805-48FA-830C-E990438CB0BE}" type="TxLink">
                    <a:rPr lang="en-US" sz="2400" b="0" i="0" u="none" strike="noStrike">
                      <a:solidFill>
                        <a:srgbClr val="78B536"/>
                      </a:solidFill>
                      <a:latin typeface="Franklin Gothic Demi" panose="020B0703020102020204" pitchFamily="34" charset="0"/>
                      <a:cs typeface="Calibri"/>
                    </a:rPr>
                    <a:pPr/>
                    <a:t> R$ 1.800,00 </a:t>
                  </a:fld>
                  <a:endParaRPr lang="pt-BR" sz="2400">
                    <a:solidFill>
                      <a:srgbClr val="78B536"/>
                    </a:solidFill>
                    <a:latin typeface="Franklin Gothic Demi" panose="020B0703020102020204" pitchFamily="34" charset="0"/>
                  </a:endParaRPr>
                </a:p>
              </xdr:txBody>
            </xdr:sp>
          </xdr:grpSp>
          <xdr:pic>
            <xdr:nvPicPr>
              <xdr:cNvPr id="20" name="Imagem 19">
                <a:extLst>
                  <a:ext uri="{FF2B5EF4-FFF2-40B4-BE49-F238E27FC236}">
                    <a16:creationId xmlns:a16="http://schemas.microsoft.com/office/drawing/2014/main" id="{D508B4B6-C795-452E-AEBF-8D3ABD383D1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8807782" y="1960134"/>
                <a:ext cx="795363" cy="781882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noFill/>
              </a:ln>
              <a:effectLst>
                <a:outerShdw blurRad="107950" dist="12700" dir="5400000" algn="ctr">
                  <a:srgbClr val="000000"/>
                </a:outerShdw>
              </a:effectLst>
              <a:scene3d>
                <a:camera prst="orthographicFront">
                  <a:rot lat="0" lon="0" rev="0"/>
                </a:camera>
                <a:lightRig rig="soft" dir="t">
                  <a:rot lat="0" lon="0" rev="0"/>
                </a:lightRig>
              </a:scene3d>
              <a:sp3d contourW="44450" prstMaterial="matte">
                <a:bevelT w="63500" h="63500"/>
                <a:contourClr>
                  <a:srgbClr val="FFFFFF"/>
                </a:contourClr>
              </a:sp3d>
            </xdr:spPr>
          </xdr:pic>
        </xdr:grpSp>
        <xdr:sp macro="" textlink="Calculos!J73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A361B2D3-414E-4FCA-993B-16EF459C9C0E}"/>
                </a:ext>
              </a:extLst>
            </xdr:cNvPr>
            <xdr:cNvSpPr txBox="1"/>
          </xdr:nvSpPr>
          <xdr:spPr>
            <a:xfrm>
              <a:off x="12439652" y="3170883"/>
              <a:ext cx="828674" cy="463480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  <a:effectLst>
              <a:outerShdw blurRad="107950" dist="12700" dir="5400000" algn="ctr">
                <a:srgbClr val="000000"/>
              </a:outerShdw>
            </a:effectLst>
            <a:scene3d>
              <a:camera prst="orthographicFront">
                <a:rot lat="0" lon="0" rev="0"/>
              </a:camera>
              <a:lightRig rig="soft" dir="t">
                <a:rot lat="0" lon="0" rev="0"/>
              </a:lightRig>
            </a:scene3d>
            <a:sp3d contourW="44450" prstMaterial="matte">
              <a:bevelT w="63500" h="63500"/>
              <a:contourClr>
                <a:srgbClr val="FFFFFF"/>
              </a:contourClr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80F24618-2B2A-46C2-9D2A-255781B4F33B}" type="TxLink">
                <a:rPr lang="en-US" sz="2400" b="0" i="0" u="none" strike="noStrike">
                  <a:solidFill>
                    <a:srgbClr val="78B536"/>
                  </a:solidFill>
                  <a:latin typeface="Franklin Gothic Demi" panose="020B0703020102020204" pitchFamily="34" charset="0"/>
                  <a:ea typeface="+mn-ea"/>
                  <a:cs typeface="Calibri"/>
                </a:rPr>
                <a:pPr marL="0" indent="0" algn="ctr"/>
                <a:t>90</a:t>
              </a:fld>
              <a:endParaRPr lang="pt-BR" sz="2400" b="0" i="0" u="none" strike="noStrike">
                <a:solidFill>
                  <a:srgbClr val="78B536"/>
                </a:solidFill>
                <a:latin typeface="Franklin Gothic Demi" panose="020B0703020102020204" pitchFamily="34" charset="0"/>
                <a:ea typeface="+mn-ea"/>
                <a:cs typeface="Calibri"/>
              </a:endParaRPr>
            </a:p>
          </xdr:txBody>
        </xdr:sp>
      </xdr:grpSp>
      <xdr:sp macro="" textlink="">
        <xdr:nvSpPr>
          <xdr:cNvPr id="37" name="CaixaDeTexto 36">
            <a:extLst>
              <a:ext uri="{FF2B5EF4-FFF2-40B4-BE49-F238E27FC236}">
                <a16:creationId xmlns:a16="http://schemas.microsoft.com/office/drawing/2014/main" id="{8F4B22B5-4102-43F4-8263-DA803209C580}"/>
              </a:ext>
            </a:extLst>
          </xdr:cNvPr>
          <xdr:cNvSpPr txBox="1"/>
        </xdr:nvSpPr>
        <xdr:spPr>
          <a:xfrm>
            <a:off x="11477625" y="2914650"/>
            <a:ext cx="1000125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900" b="1">
                <a:ln>
                  <a:noFill/>
                </a:ln>
                <a:solidFill>
                  <a:schemeClr val="tx1">
                    <a:lumMod val="50000"/>
                    <a:lumOff val="50000"/>
                  </a:schemeClr>
                </a:solidFill>
                <a:latin typeface="Calisto MT" panose="02040603050505030304" pitchFamily="18" charset="0"/>
              </a:rPr>
              <a:t>Total</a:t>
            </a:r>
          </a:p>
        </xdr:txBody>
      </xdr:sp>
    </xdr:grpSp>
    <xdr:clientData/>
  </xdr:twoCellAnchor>
  <xdr:twoCellAnchor editAs="absolute">
    <xdr:from>
      <xdr:col>10</xdr:col>
      <xdr:colOff>323851</xdr:colOff>
      <xdr:row>6</xdr:row>
      <xdr:rowOff>0</xdr:rowOff>
    </xdr:from>
    <xdr:to>
      <xdr:col>18</xdr:col>
      <xdr:colOff>334122</xdr:colOff>
      <xdr:row>17</xdr:row>
      <xdr:rowOff>85725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AC724141-8613-8309-3668-AD27FAE0BCA4}"/>
            </a:ext>
          </a:extLst>
        </xdr:cNvPr>
        <xdr:cNvGrpSpPr/>
      </xdr:nvGrpSpPr>
      <xdr:grpSpPr>
        <a:xfrm>
          <a:off x="7810501" y="1143000"/>
          <a:ext cx="4887071" cy="2181225"/>
          <a:chOff x="13211176" y="1466850"/>
          <a:chExt cx="4887071" cy="2181225"/>
        </a:xfrm>
      </xdr:grpSpPr>
      <xdr:sp macro="" textlink="">
        <xdr:nvSpPr>
          <xdr:cNvPr id="43" name="Retângulo: Cantos Superiores Arredondados 42">
            <a:extLst>
              <a:ext uri="{FF2B5EF4-FFF2-40B4-BE49-F238E27FC236}">
                <a16:creationId xmlns:a16="http://schemas.microsoft.com/office/drawing/2014/main" id="{9AC92A57-683A-B5AC-89AF-6676832D262B}"/>
              </a:ext>
            </a:extLst>
          </xdr:cNvPr>
          <xdr:cNvSpPr/>
        </xdr:nvSpPr>
        <xdr:spPr>
          <a:xfrm>
            <a:off x="13211176" y="1466850"/>
            <a:ext cx="4876799" cy="2181225"/>
          </a:xfrm>
          <a:prstGeom prst="round2SameRect">
            <a:avLst>
              <a:gd name="adj1" fmla="val 5184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8" name="Gráfico 37">
            <a:extLst>
              <a:ext uri="{FF2B5EF4-FFF2-40B4-BE49-F238E27FC236}">
                <a16:creationId xmlns:a16="http://schemas.microsoft.com/office/drawing/2014/main" id="{F1193983-B79C-4798-BDBF-60D12E31E3E3}"/>
              </a:ext>
            </a:extLst>
          </xdr:cNvPr>
          <xdr:cNvGraphicFramePr>
            <a:graphicFrameLocks/>
          </xdr:cNvGraphicFramePr>
        </xdr:nvGraphicFramePr>
        <xdr:xfrm>
          <a:off x="13287375" y="2076449"/>
          <a:ext cx="4686300" cy="14906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0BE91668-A828-456D-AA4F-59D3414A53AE}"/>
              </a:ext>
            </a:extLst>
          </xdr:cNvPr>
          <xdr:cNvSpPr/>
        </xdr:nvSpPr>
        <xdr:spPr>
          <a:xfrm>
            <a:off x="13220700" y="1476376"/>
            <a:ext cx="4877547" cy="533400"/>
          </a:xfrm>
          <a:prstGeom prst="roundRect">
            <a:avLst/>
          </a:prstGeom>
          <a:solidFill>
            <a:srgbClr val="11791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rgbClr val="59CAD8"/>
                </a:solidFill>
                <a:latin typeface="Franklin Gothic Demi" panose="020B0703020102020204" pitchFamily="34" charset="0"/>
              </a:rPr>
              <a:t>TOTAL</a:t>
            </a:r>
            <a:r>
              <a:rPr lang="pt-BR" sz="1400" baseline="0">
                <a:solidFill>
                  <a:srgbClr val="59CAD8"/>
                </a:solidFill>
                <a:latin typeface="Franklin Gothic Demi" panose="020B0703020102020204" pitchFamily="34" charset="0"/>
              </a:rPr>
              <a:t>  SUBSCRIPTION  BY PLAN</a:t>
            </a: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</xdr:col>
      <xdr:colOff>457200</xdr:colOff>
      <xdr:row>0</xdr:row>
      <xdr:rowOff>152400</xdr:rowOff>
    </xdr:from>
    <xdr:to>
      <xdr:col>18</xdr:col>
      <xdr:colOff>266700</xdr:colOff>
      <xdr:row>3</xdr:row>
      <xdr:rowOff>104775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BA8881F9-16F0-F307-CD06-798A0F77C8C9}"/>
            </a:ext>
          </a:extLst>
        </xdr:cNvPr>
        <xdr:cNvSpPr/>
      </xdr:nvSpPr>
      <xdr:spPr>
        <a:xfrm>
          <a:off x="2457450" y="152400"/>
          <a:ext cx="10172700" cy="523875"/>
        </a:xfrm>
        <a:prstGeom prst="roundRect">
          <a:avLst/>
        </a:prstGeom>
        <a:solidFill>
          <a:srgbClr val="11791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04C7C9"/>
              </a:solidFill>
              <a:latin typeface="Copperplate Gothic Bold" panose="020E0705020206020404" pitchFamily="34" charset="0"/>
            </a:rPr>
            <a:t>XBOX</a:t>
          </a:r>
          <a:r>
            <a:rPr lang="pt-BR" sz="1600" baseline="0">
              <a:solidFill>
                <a:srgbClr val="04C7C9"/>
              </a:solidFill>
              <a:latin typeface="Copperplate Gothic Bold" panose="020E0705020206020404" pitchFamily="34" charset="0"/>
            </a:rPr>
            <a:t>  GAME  SUBSCRIPTIONS   SALES  OVERVIEW</a:t>
          </a:r>
          <a:endParaRPr lang="pt-BR" sz="1600">
            <a:solidFill>
              <a:srgbClr val="04C7C9"/>
            </a:solidFill>
            <a:latin typeface="Copperplate Gothic Bold" panose="020E0705020206020404" pitchFamily="34" charset="0"/>
          </a:endParaRPr>
        </a:p>
      </xdr:txBody>
    </xdr:sp>
    <xdr:clientData/>
  </xdr:twoCellAnchor>
  <xdr:twoCellAnchor editAs="absolute">
    <xdr:from>
      <xdr:col>9</xdr:col>
      <xdr:colOff>114300</xdr:colOff>
      <xdr:row>3</xdr:row>
      <xdr:rowOff>123825</xdr:rowOff>
    </xdr:from>
    <xdr:to>
      <xdr:col>11</xdr:col>
      <xdr:colOff>381000</xdr:colOff>
      <xdr:row>5</xdr:row>
      <xdr:rowOff>161925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0E086D9-6B10-4D4E-A19D-4342DAF04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91350" y="695325"/>
          <a:ext cx="1485900" cy="419100"/>
        </a:xfrm>
        <a:prstGeom prst="rect">
          <a:avLst/>
        </a:prstGeom>
        <a:scene3d>
          <a:camera prst="obliqueTopLeft"/>
          <a:lightRig rig="threePt" dir="t"/>
        </a:scene3d>
      </xdr:spPr>
    </xdr:pic>
    <xdr:clientData/>
  </xdr:twoCellAnchor>
  <xdr:twoCellAnchor>
    <xdr:from>
      <xdr:col>0</xdr:col>
      <xdr:colOff>1000126</xdr:colOff>
      <xdr:row>1</xdr:row>
      <xdr:rowOff>152400</xdr:rowOff>
    </xdr:from>
    <xdr:to>
      <xdr:col>0</xdr:col>
      <xdr:colOff>1914526</xdr:colOff>
      <xdr:row>4</xdr:row>
      <xdr:rowOff>66675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0E957744-129A-AC68-DDAD-A3319D84C0F6}"/>
            </a:ext>
          </a:extLst>
        </xdr:cNvPr>
        <xdr:cNvSpPr/>
      </xdr:nvSpPr>
      <xdr:spPr>
        <a:xfrm rot="20672511">
          <a:off x="1000126" y="342900"/>
          <a:ext cx="914400" cy="485775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      </a:t>
          </a:r>
          <a:r>
            <a:rPr lang="pt-BR" sz="1100"/>
            <a:t>📢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" refreshedDate="46066.701310648146" createdVersion="8" refreshedVersion="8" minRefreshableVersion="3" recordCount="295" xr:uid="{2203B938-CFEB-45D8-8163-1390E457720D}">
  <cacheSource type="worksheet">
    <worksheetSource name="Base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444341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n v="30"/>
    <s v="Yes"/>
    <n v="20"/>
    <n v="5"/>
    <n v="60"/>
  </r>
  <r>
    <n v="3232"/>
    <s v="Maria Oliveira"/>
    <x v="1"/>
    <d v="2024-01-15T00:00:00"/>
    <x v="1"/>
    <n v="5"/>
    <x v="1"/>
    <x v="1"/>
    <s v="-"/>
    <s v="No"/>
    <n v="0"/>
    <n v="0"/>
    <n v="5"/>
  </r>
  <r>
    <n v="3233"/>
    <s v="Lucas Fernandes"/>
    <x v="2"/>
    <d v="2024-02-10T00:00:00"/>
    <x v="0"/>
    <n v="10"/>
    <x v="2"/>
    <x v="1"/>
    <s v="-"/>
    <s v="Yes"/>
    <n v="20"/>
    <n v="10"/>
    <n v="20"/>
  </r>
  <r>
    <n v="3234"/>
    <s v="Ana Souza"/>
    <x v="0"/>
    <d v="2024-02-20T00:00:00"/>
    <x v="1"/>
    <n v="15"/>
    <x v="0"/>
    <x v="0"/>
    <n v="30"/>
    <s v="Yes"/>
    <n v="20"/>
    <n v="3"/>
    <n v="62"/>
  </r>
  <r>
    <n v="3235"/>
    <s v="Pedro Gonçalves"/>
    <x v="1"/>
    <d v="2024-03-05T00:00:00"/>
    <x v="0"/>
    <n v="5"/>
    <x v="0"/>
    <x v="1"/>
    <s v="-"/>
    <s v="No"/>
    <n v="0"/>
    <n v="1"/>
    <n v="4"/>
  </r>
  <r>
    <n v="3236"/>
    <s v="Felipe Costa"/>
    <x v="2"/>
    <d v="2024-03-02T00:00:00"/>
    <x v="1"/>
    <n v="10"/>
    <x v="0"/>
    <x v="1"/>
    <s v="-"/>
    <s v="Yes"/>
    <n v="20"/>
    <n v="2"/>
    <n v="28"/>
  </r>
  <r>
    <n v="3237"/>
    <s v="Camila Ribeiro"/>
    <x v="0"/>
    <d v="2024-03-03T00:00:00"/>
    <x v="0"/>
    <n v="15"/>
    <x v="2"/>
    <x v="0"/>
    <n v="30"/>
    <s v="Yes"/>
    <n v="20"/>
    <n v="10"/>
    <n v="55"/>
  </r>
  <r>
    <n v="3238"/>
    <s v="André Mendes"/>
    <x v="1"/>
    <d v="2024-03-04T00:00:00"/>
    <x v="0"/>
    <n v="5"/>
    <x v="1"/>
    <x v="1"/>
    <s v="-"/>
    <s v="No"/>
    <n v="0"/>
    <n v="0"/>
    <n v="5"/>
  </r>
  <r>
    <n v="3239"/>
    <s v="Sofia Almeida"/>
    <x v="0"/>
    <d v="2024-03-05T00:00:00"/>
    <x v="1"/>
    <n v="15"/>
    <x v="0"/>
    <x v="0"/>
    <n v="30"/>
    <s v="Yes"/>
    <n v="20"/>
    <n v="5"/>
    <n v="60"/>
  </r>
  <r>
    <n v="3240"/>
    <s v="Bruno Martins"/>
    <x v="2"/>
    <d v="2024-03-06T00:00:00"/>
    <x v="0"/>
    <n v="10"/>
    <x v="2"/>
    <x v="1"/>
    <s v="-"/>
    <s v="Yes"/>
    <n v="20"/>
    <n v="15"/>
    <n v="15"/>
  </r>
  <r>
    <n v="3241"/>
    <s v="Rita Castro"/>
    <x v="1"/>
    <d v="2024-03-07T00:00:00"/>
    <x v="1"/>
    <n v="5"/>
    <x v="0"/>
    <x v="1"/>
    <s v="-"/>
    <s v="No"/>
    <n v="0"/>
    <n v="1"/>
    <n v="4"/>
  </r>
  <r>
    <n v="3242"/>
    <s v="Marco Túlio"/>
    <x v="0"/>
    <d v="2024-03-08T00:00:00"/>
    <x v="0"/>
    <n v="15"/>
    <x v="1"/>
    <x v="0"/>
    <n v="30"/>
    <s v="Yes"/>
    <n v="20"/>
    <n v="20"/>
    <n v="45"/>
  </r>
  <r>
    <n v="3243"/>
    <s v="Lívia Silveira"/>
    <x v="2"/>
    <d v="2024-03-09T00:00:00"/>
    <x v="1"/>
    <n v="10"/>
    <x v="0"/>
    <x v="1"/>
    <s v="-"/>
    <s v="Yes"/>
    <n v="20"/>
    <n v="10"/>
    <n v="20"/>
  </r>
  <r>
    <n v="3244"/>
    <s v="Diogo Sousa"/>
    <x v="1"/>
    <d v="2024-03-10T00:00:00"/>
    <x v="0"/>
    <n v="5"/>
    <x v="2"/>
    <x v="1"/>
    <s v="-"/>
    <s v="No"/>
    <n v="0"/>
    <n v="0"/>
    <n v="5"/>
  </r>
  <r>
    <n v="3245"/>
    <s v="Fernanda Lima"/>
    <x v="0"/>
    <d v="2024-03-11T00:00:00"/>
    <x v="1"/>
    <n v="15"/>
    <x v="0"/>
    <x v="0"/>
    <n v="30"/>
    <s v="Yes"/>
    <n v="20"/>
    <n v="8"/>
    <n v="57"/>
  </r>
  <r>
    <n v="3246"/>
    <s v="Caio Pereira"/>
    <x v="2"/>
    <d v="2024-03-12T00:00:00"/>
    <x v="0"/>
    <n v="10"/>
    <x v="1"/>
    <x v="1"/>
    <s v="-"/>
    <s v="Yes"/>
    <n v="20"/>
    <n v="12"/>
    <n v="18"/>
  </r>
  <r>
    <n v="3247"/>
    <s v="Beatriz Gomes"/>
    <x v="1"/>
    <d v="2024-03-13T00:00:00"/>
    <x v="1"/>
    <n v="5"/>
    <x v="0"/>
    <x v="1"/>
    <s v="-"/>
    <s v="No"/>
    <n v="0"/>
    <n v="2"/>
    <n v="3"/>
  </r>
  <r>
    <n v="3248"/>
    <s v="Cesar Oliveira"/>
    <x v="0"/>
    <d v="2024-03-14T00:00:00"/>
    <x v="0"/>
    <n v="15"/>
    <x v="2"/>
    <x v="0"/>
    <n v="30"/>
    <s v="Yes"/>
    <n v="20"/>
    <n v="7"/>
    <n v="58"/>
  </r>
  <r>
    <n v="3249"/>
    <s v="Débora Machado"/>
    <x v="2"/>
    <d v="2024-03-15T00:00:00"/>
    <x v="1"/>
    <n v="10"/>
    <x v="0"/>
    <x v="1"/>
    <s v="-"/>
    <s v="Yes"/>
    <n v="20"/>
    <n v="5"/>
    <n v="25"/>
  </r>
  <r>
    <n v="3250"/>
    <s v="Eduardo Vargas"/>
    <x v="1"/>
    <d v="2024-03-16T00:00:00"/>
    <x v="0"/>
    <n v="5"/>
    <x v="1"/>
    <x v="1"/>
    <s v="-"/>
    <s v="No"/>
    <n v="0"/>
    <n v="0"/>
    <n v="5"/>
  </r>
  <r>
    <n v="3251"/>
    <s v="Gabriela Santos"/>
    <x v="0"/>
    <d v="2024-03-17T00:00:00"/>
    <x v="1"/>
    <n v="15"/>
    <x v="0"/>
    <x v="0"/>
    <n v="30"/>
    <s v="Yes"/>
    <n v="20"/>
    <n v="3"/>
    <n v="62"/>
  </r>
  <r>
    <n v="3252"/>
    <s v="Henrique Dias"/>
    <x v="2"/>
    <d v="2024-03-18T00:00:00"/>
    <x v="0"/>
    <n v="10"/>
    <x v="2"/>
    <x v="1"/>
    <s v="-"/>
    <s v="Yes"/>
    <n v="20"/>
    <n v="15"/>
    <n v="15"/>
  </r>
  <r>
    <n v="3253"/>
    <s v="Isabela Moreira"/>
    <x v="1"/>
    <d v="2024-03-19T00:00:00"/>
    <x v="1"/>
    <n v="5"/>
    <x v="0"/>
    <x v="1"/>
    <s v="-"/>
    <s v="No"/>
    <n v="0"/>
    <n v="1"/>
    <n v="4"/>
  </r>
  <r>
    <n v="3254"/>
    <s v="Joaquim Barbosa"/>
    <x v="0"/>
    <d v="2024-03-20T00:00:00"/>
    <x v="0"/>
    <n v="15"/>
    <x v="1"/>
    <x v="0"/>
    <n v="30"/>
    <s v="Yes"/>
    <n v="20"/>
    <n v="20"/>
    <n v="45"/>
  </r>
  <r>
    <n v="3255"/>
    <s v="Lara Rocha"/>
    <x v="2"/>
    <d v="2024-03-21T00:00:00"/>
    <x v="1"/>
    <n v="10"/>
    <x v="0"/>
    <x v="1"/>
    <s v="-"/>
    <s v="Yes"/>
    <n v="20"/>
    <n v="10"/>
    <n v="20"/>
  </r>
  <r>
    <n v="3256"/>
    <s v="Matheus Silva"/>
    <x v="1"/>
    <d v="2024-03-22T00:00:00"/>
    <x v="0"/>
    <n v="5"/>
    <x v="2"/>
    <x v="1"/>
    <s v="-"/>
    <s v="No"/>
    <n v="0"/>
    <n v="0"/>
    <n v="5"/>
  </r>
  <r>
    <n v="3257"/>
    <s v="Nicole Costa"/>
    <x v="0"/>
    <d v="2024-03-23T00:00:00"/>
    <x v="1"/>
    <n v="15"/>
    <x v="0"/>
    <x v="0"/>
    <n v="30"/>
    <s v="Yes"/>
    <n v="20"/>
    <n v="5"/>
    <n v="60"/>
  </r>
  <r>
    <n v="3258"/>
    <s v="Otávio Mendonça"/>
    <x v="2"/>
    <d v="2024-03-24T00:00:00"/>
    <x v="0"/>
    <n v="10"/>
    <x v="1"/>
    <x v="1"/>
    <s v="-"/>
    <s v="Yes"/>
    <n v="20"/>
    <n v="15"/>
    <n v="15"/>
  </r>
  <r>
    <n v="3259"/>
    <s v="Paula Ferreira"/>
    <x v="1"/>
    <d v="2024-03-25T00:00:00"/>
    <x v="1"/>
    <n v="5"/>
    <x v="0"/>
    <x v="1"/>
    <s v="-"/>
    <s v="No"/>
    <n v="0"/>
    <n v="1"/>
    <n v="4"/>
  </r>
  <r>
    <n v="3260"/>
    <s v="Raquel Alves"/>
    <x v="0"/>
    <d v="2024-03-26T00:00:00"/>
    <x v="0"/>
    <n v="15"/>
    <x v="2"/>
    <x v="0"/>
    <n v="30"/>
    <s v="Yes"/>
    <n v="20"/>
    <n v="7"/>
    <n v="58"/>
  </r>
  <r>
    <n v="3261"/>
    <s v="Samuel Pires"/>
    <x v="2"/>
    <d v="2024-03-27T00:00:00"/>
    <x v="1"/>
    <n v="10"/>
    <x v="0"/>
    <x v="1"/>
    <s v="-"/>
    <s v="Yes"/>
    <n v="20"/>
    <n v="10"/>
    <n v="20"/>
  </r>
  <r>
    <n v="3262"/>
    <s v="Tânia Barros"/>
    <x v="1"/>
    <d v="2024-03-28T00:00:00"/>
    <x v="0"/>
    <n v="5"/>
    <x v="1"/>
    <x v="1"/>
    <s v="-"/>
    <s v="No"/>
    <n v="0"/>
    <n v="0"/>
    <n v="5"/>
  </r>
  <r>
    <n v="3263"/>
    <s v="Vinicius Lima"/>
    <x v="0"/>
    <d v="2024-03-29T00:00:00"/>
    <x v="1"/>
    <n v="15"/>
    <x v="0"/>
    <x v="0"/>
    <n v="30"/>
    <s v="Yes"/>
    <n v="20"/>
    <n v="3"/>
    <n v="62"/>
  </r>
  <r>
    <n v="3264"/>
    <s v="Yasmin Teixeira"/>
    <x v="2"/>
    <d v="2024-03-30T00:00:00"/>
    <x v="0"/>
    <n v="10"/>
    <x v="2"/>
    <x v="1"/>
    <s v="-"/>
    <s v="Yes"/>
    <n v="20"/>
    <n v="15"/>
    <n v="15"/>
  </r>
  <r>
    <n v="3265"/>
    <s v="Zé Carlos"/>
    <x v="1"/>
    <d v="2024-03-31T00:00:00"/>
    <x v="1"/>
    <n v="5"/>
    <x v="0"/>
    <x v="1"/>
    <s v="-"/>
    <s v="No"/>
    <n v="0"/>
    <n v="1"/>
    <n v="4"/>
  </r>
  <r>
    <n v="3266"/>
    <s v="Amanda Nogueira"/>
    <x v="1"/>
    <d v="2024-04-01T00:00:00"/>
    <x v="0"/>
    <n v="5"/>
    <x v="0"/>
    <x v="1"/>
    <s v="-"/>
    <s v="No"/>
    <n v="0"/>
    <n v="0"/>
    <n v="5"/>
  </r>
  <r>
    <n v="3267"/>
    <s v="Bruno Cavalheiro"/>
    <x v="0"/>
    <d v="2024-04-02T00:00:00"/>
    <x v="1"/>
    <n v="15"/>
    <x v="2"/>
    <x v="0"/>
    <n v="30"/>
    <s v="Yes"/>
    <n v="20"/>
    <n v="7"/>
    <n v="58"/>
  </r>
  <r>
    <n v="3268"/>
    <s v="Carla Dias"/>
    <x v="2"/>
    <d v="2024-04-03T00:00:00"/>
    <x v="0"/>
    <n v="10"/>
    <x v="1"/>
    <x v="1"/>
    <s v="-"/>
    <s v="Yes"/>
    <n v="20"/>
    <n v="10"/>
    <n v="20"/>
  </r>
  <r>
    <n v="3269"/>
    <s v="Diego Fontes"/>
    <x v="1"/>
    <d v="2024-04-04T00:00:00"/>
    <x v="1"/>
    <n v="5"/>
    <x v="2"/>
    <x v="1"/>
    <s v="-"/>
    <s v="No"/>
    <n v="0"/>
    <n v="1"/>
    <n v="4"/>
  </r>
  <r>
    <n v="3270"/>
    <s v="Eunice Lima"/>
    <x v="0"/>
    <d v="2024-04-05T00:00:00"/>
    <x v="0"/>
    <n v="15"/>
    <x v="0"/>
    <x v="0"/>
    <n v="30"/>
    <s v="Yes"/>
    <n v="20"/>
    <n v="15"/>
    <n v="50"/>
  </r>
  <r>
    <n v="3271"/>
    <s v="Fábio Martins"/>
    <x v="2"/>
    <d v="2024-04-06T00:00:00"/>
    <x v="1"/>
    <n v="10"/>
    <x v="0"/>
    <x v="1"/>
    <s v="-"/>
    <s v="Yes"/>
    <n v="20"/>
    <n v="5"/>
    <n v="25"/>
  </r>
  <r>
    <n v="3272"/>
    <s v="Gisele Araújo"/>
    <x v="1"/>
    <d v="2024-04-07T00:00:00"/>
    <x v="0"/>
    <n v="5"/>
    <x v="1"/>
    <x v="1"/>
    <s v="-"/>
    <s v="No"/>
    <n v="0"/>
    <n v="0"/>
    <n v="5"/>
  </r>
  <r>
    <n v="3273"/>
    <s v="Hélio Castro"/>
    <x v="0"/>
    <d v="2024-04-08T00:00:00"/>
    <x v="1"/>
    <n v="15"/>
    <x v="2"/>
    <x v="0"/>
    <n v="30"/>
    <s v="Yes"/>
    <n v="20"/>
    <n v="20"/>
    <n v="45"/>
  </r>
  <r>
    <n v="3274"/>
    <s v="Ingrid Menezes"/>
    <x v="2"/>
    <d v="2024-04-09T00:00:00"/>
    <x v="0"/>
    <n v="10"/>
    <x v="2"/>
    <x v="1"/>
    <s v="-"/>
    <s v="Yes"/>
    <n v="20"/>
    <n v="12"/>
    <n v="18"/>
  </r>
  <r>
    <n v="3275"/>
    <s v="Jorge Baptista"/>
    <x v="1"/>
    <d v="2024-04-10T00:00:00"/>
    <x v="1"/>
    <n v="5"/>
    <x v="0"/>
    <x v="1"/>
    <s v="-"/>
    <s v="No"/>
    <n v="0"/>
    <n v="2"/>
    <n v="3"/>
  </r>
  <r>
    <n v="3276"/>
    <s v="Kléber Oliveira"/>
    <x v="0"/>
    <d v="2024-04-11T00:00:00"/>
    <x v="0"/>
    <n v="15"/>
    <x v="1"/>
    <x v="0"/>
    <n v="30"/>
    <s v="Yes"/>
    <n v="20"/>
    <n v="5"/>
    <n v="60"/>
  </r>
  <r>
    <n v="3277"/>
    <s v="Luciana Freitas"/>
    <x v="2"/>
    <d v="2024-04-12T00:00:00"/>
    <x v="1"/>
    <n v="10"/>
    <x v="0"/>
    <x v="1"/>
    <s v="-"/>
    <s v="Yes"/>
    <n v="20"/>
    <n v="10"/>
    <n v="20"/>
  </r>
  <r>
    <n v="3278"/>
    <s v="Márcia Eller"/>
    <x v="1"/>
    <d v="2024-04-13T00:00:00"/>
    <x v="0"/>
    <n v="5"/>
    <x v="2"/>
    <x v="1"/>
    <s v="-"/>
    <s v="No"/>
    <n v="0"/>
    <n v="0"/>
    <n v="5"/>
  </r>
  <r>
    <n v="3279"/>
    <s v="Nilo Peçanha"/>
    <x v="0"/>
    <d v="2024-04-14T00:00:00"/>
    <x v="1"/>
    <n v="15"/>
    <x v="0"/>
    <x v="0"/>
    <n v="30"/>
    <s v="Yes"/>
    <n v="20"/>
    <n v="3"/>
    <n v="62"/>
  </r>
  <r>
    <n v="3280"/>
    <s v="Oscar Neves"/>
    <x v="2"/>
    <d v="2024-04-15T00:00:00"/>
    <x v="0"/>
    <n v="10"/>
    <x v="1"/>
    <x v="1"/>
    <s v="-"/>
    <s v="Yes"/>
    <n v="20"/>
    <n v="15"/>
    <n v="15"/>
  </r>
  <r>
    <n v="3281"/>
    <s v="Patrícia Soares"/>
    <x v="1"/>
    <d v="2024-04-16T00:00:00"/>
    <x v="1"/>
    <n v="5"/>
    <x v="0"/>
    <x v="1"/>
    <s v="-"/>
    <s v="No"/>
    <n v="0"/>
    <n v="1"/>
    <n v="4"/>
  </r>
  <r>
    <n v="3282"/>
    <s v="Quirino Gonçalves"/>
    <x v="0"/>
    <d v="2024-04-17T00:00:00"/>
    <x v="0"/>
    <n v="15"/>
    <x v="2"/>
    <x v="0"/>
    <n v="30"/>
    <s v="Yes"/>
    <n v="20"/>
    <n v="7"/>
    <n v="58"/>
  </r>
  <r>
    <n v="3283"/>
    <s v="Raul Machado"/>
    <x v="2"/>
    <d v="2024-04-18T00:00:00"/>
    <x v="1"/>
    <n v="10"/>
    <x v="0"/>
    <x v="1"/>
    <s v="-"/>
    <s v="Yes"/>
    <n v="20"/>
    <n v="10"/>
    <n v="20"/>
  </r>
  <r>
    <n v="3284"/>
    <s v="Sônia Lobo"/>
    <x v="1"/>
    <d v="2024-04-19T00:00:00"/>
    <x v="0"/>
    <n v="5"/>
    <x v="1"/>
    <x v="1"/>
    <s v="-"/>
    <s v="No"/>
    <n v="0"/>
    <n v="0"/>
    <n v="5"/>
  </r>
  <r>
    <n v="3285"/>
    <s v="Tiago Ramos"/>
    <x v="0"/>
    <d v="2024-04-20T00:00:00"/>
    <x v="1"/>
    <n v="15"/>
    <x v="0"/>
    <x v="0"/>
    <n v="30"/>
    <s v="Yes"/>
    <n v="20"/>
    <n v="20"/>
    <n v="45"/>
  </r>
  <r>
    <n v="3286"/>
    <s v="Ugo Pires"/>
    <x v="2"/>
    <d v="2024-04-21T00:00:00"/>
    <x v="0"/>
    <n v="10"/>
    <x v="2"/>
    <x v="1"/>
    <s v="-"/>
    <s v="Yes"/>
    <n v="20"/>
    <n v="15"/>
    <n v="15"/>
  </r>
  <r>
    <n v="3287"/>
    <s v="Valéria Nobre"/>
    <x v="1"/>
    <d v="2024-04-22T00:00:00"/>
    <x v="1"/>
    <n v="5"/>
    <x v="0"/>
    <x v="1"/>
    <s v="-"/>
    <s v="No"/>
    <n v="0"/>
    <n v="1"/>
    <n v="4"/>
  </r>
  <r>
    <n v="3288"/>
    <s v="William Siqueira"/>
    <x v="0"/>
    <d v="2024-04-23T00:00:00"/>
    <x v="0"/>
    <n v="15"/>
    <x v="1"/>
    <x v="0"/>
    <n v="30"/>
    <s v="Yes"/>
    <n v="20"/>
    <n v="3"/>
    <n v="62"/>
  </r>
  <r>
    <n v="3289"/>
    <s v="Xuxa Meneghel"/>
    <x v="2"/>
    <d v="2024-04-24T00:00:00"/>
    <x v="1"/>
    <n v="10"/>
    <x v="0"/>
    <x v="1"/>
    <s v="-"/>
    <s v="Yes"/>
    <n v="20"/>
    <n v="10"/>
    <n v="20"/>
  </r>
  <r>
    <n v="3290"/>
    <s v="Yara Figueiredo"/>
    <x v="1"/>
    <d v="2024-04-25T00:00:00"/>
    <x v="0"/>
    <n v="5"/>
    <x v="2"/>
    <x v="1"/>
    <s v="-"/>
    <s v="No"/>
    <n v="0"/>
    <n v="0"/>
    <n v="5"/>
  </r>
  <r>
    <n v="3291"/>
    <s v="Zacarias Alves"/>
    <x v="0"/>
    <d v="2024-04-26T00:00:00"/>
    <x v="1"/>
    <n v="15"/>
    <x v="0"/>
    <x v="0"/>
    <n v="30"/>
    <s v="Yes"/>
    <n v="20"/>
    <n v="5"/>
    <n v="60"/>
  </r>
  <r>
    <n v="3292"/>
    <s v="Amanda Bynes"/>
    <x v="2"/>
    <d v="2024-04-27T00:00:00"/>
    <x v="0"/>
    <n v="10"/>
    <x v="1"/>
    <x v="1"/>
    <s v="-"/>
    <s v="Yes"/>
    <n v="20"/>
    <n v="15"/>
    <n v="15"/>
  </r>
  <r>
    <n v="3293"/>
    <s v="Bruno Mars"/>
    <x v="1"/>
    <d v="2024-04-28T00:00:00"/>
    <x v="1"/>
    <n v="5"/>
    <x v="0"/>
    <x v="1"/>
    <s v="-"/>
    <s v="No"/>
    <n v="0"/>
    <n v="1"/>
    <n v="4"/>
  </r>
  <r>
    <n v="3294"/>
    <s v="Carla Bruni"/>
    <x v="0"/>
    <d v="2024-04-29T00:00:00"/>
    <x v="0"/>
    <n v="15"/>
    <x v="2"/>
    <x v="0"/>
    <n v="30"/>
    <s v="Yes"/>
    <n v="20"/>
    <n v="20"/>
    <n v="45"/>
  </r>
  <r>
    <n v="3295"/>
    <s v="Diego Maradona"/>
    <x v="2"/>
    <d v="2024-04-30T00:00:00"/>
    <x v="1"/>
    <n v="10"/>
    <x v="0"/>
    <x v="1"/>
    <s v="-"/>
    <s v="Yes"/>
    <n v="20"/>
    <n v="5"/>
    <n v="25"/>
  </r>
  <r>
    <n v="3296"/>
    <s v="Estela Marques"/>
    <x v="1"/>
    <d v="2024-05-01T00:00:00"/>
    <x v="1"/>
    <n v="5"/>
    <x v="0"/>
    <x v="1"/>
    <s v="-"/>
    <s v="No"/>
    <n v="0"/>
    <n v="0"/>
    <n v="5"/>
  </r>
  <r>
    <n v="3297"/>
    <s v="Fábio Nobre"/>
    <x v="0"/>
    <d v="2024-05-02T00:00:00"/>
    <x v="0"/>
    <n v="15"/>
    <x v="2"/>
    <x v="0"/>
    <n v="30"/>
    <s v="Yes"/>
    <n v="20"/>
    <n v="7"/>
    <n v="58"/>
  </r>
  <r>
    <n v="3298"/>
    <s v="Gabriel Oliveira"/>
    <x v="2"/>
    <d v="2024-05-03T00:00:00"/>
    <x v="1"/>
    <n v="10"/>
    <x v="1"/>
    <x v="1"/>
    <s v="-"/>
    <s v="Yes"/>
    <n v="20"/>
    <n v="10"/>
    <n v="20"/>
  </r>
  <r>
    <n v="3299"/>
    <s v="Helena Santos"/>
    <x v="1"/>
    <d v="2024-05-04T00:00:00"/>
    <x v="0"/>
    <n v="5"/>
    <x v="2"/>
    <x v="1"/>
    <s v="-"/>
    <s v="No"/>
    <n v="0"/>
    <n v="1"/>
    <n v="4"/>
  </r>
  <r>
    <n v="3300"/>
    <s v="Ivan Carvalho"/>
    <x v="0"/>
    <d v="2024-05-05T00:00:00"/>
    <x v="1"/>
    <n v="15"/>
    <x v="0"/>
    <x v="0"/>
    <n v="30"/>
    <s v="Yes"/>
    <n v="20"/>
    <n v="15"/>
    <n v="50"/>
  </r>
  <r>
    <n v="3301"/>
    <s v="Júlia Ferreira"/>
    <x v="2"/>
    <d v="2024-05-06T00:00:00"/>
    <x v="0"/>
    <n v="10"/>
    <x v="0"/>
    <x v="1"/>
    <s v="-"/>
    <s v="Yes"/>
    <n v="20"/>
    <n v="5"/>
    <n v="25"/>
  </r>
  <r>
    <n v="3302"/>
    <s v="Karla Alves"/>
    <x v="1"/>
    <d v="2024-05-07T00:00:00"/>
    <x v="1"/>
    <n v="5"/>
    <x v="1"/>
    <x v="1"/>
    <s v="-"/>
    <s v="No"/>
    <n v="0"/>
    <n v="0"/>
    <n v="5"/>
  </r>
  <r>
    <n v="3303"/>
    <s v="Lucas Mendes"/>
    <x v="0"/>
    <d v="2024-05-08T00:00:00"/>
    <x v="0"/>
    <n v="15"/>
    <x v="2"/>
    <x v="0"/>
    <n v="30"/>
    <s v="Yes"/>
    <n v="20"/>
    <n v="20"/>
    <n v="45"/>
  </r>
  <r>
    <n v="3304"/>
    <s v="Mônica Gomes"/>
    <x v="2"/>
    <d v="2024-05-09T00:00:00"/>
    <x v="1"/>
    <n v="10"/>
    <x v="2"/>
    <x v="1"/>
    <s v="-"/>
    <s v="Yes"/>
    <n v="20"/>
    <n v="12"/>
    <n v="18"/>
  </r>
  <r>
    <n v="3305"/>
    <s v="Norberto Queiroz"/>
    <x v="1"/>
    <d v="2024-05-10T00:00:00"/>
    <x v="0"/>
    <n v="5"/>
    <x v="0"/>
    <x v="1"/>
    <s v="-"/>
    <s v="No"/>
    <n v="0"/>
    <n v="2"/>
    <n v="3"/>
  </r>
  <r>
    <n v="3306"/>
    <s v="Otávio Barros"/>
    <x v="0"/>
    <d v="2024-05-11T00:00:00"/>
    <x v="1"/>
    <n v="15"/>
    <x v="1"/>
    <x v="0"/>
    <n v="30"/>
    <s v="Yes"/>
    <n v="20"/>
    <n v="5"/>
    <n v="60"/>
  </r>
  <r>
    <n v="3307"/>
    <s v="Paula Vieira"/>
    <x v="2"/>
    <d v="2024-05-12T00:00:00"/>
    <x v="0"/>
    <n v="10"/>
    <x v="0"/>
    <x v="1"/>
    <s v="-"/>
    <s v="Yes"/>
    <n v="20"/>
    <n v="10"/>
    <n v="20"/>
  </r>
  <r>
    <n v="3308"/>
    <s v="Quentin Ramos"/>
    <x v="1"/>
    <d v="2024-05-13T00:00:00"/>
    <x v="1"/>
    <n v="5"/>
    <x v="2"/>
    <x v="1"/>
    <s v="-"/>
    <s v="No"/>
    <n v="0"/>
    <n v="0"/>
    <n v="5"/>
  </r>
  <r>
    <n v="3309"/>
    <s v="Raquel Novaes"/>
    <x v="0"/>
    <d v="2024-05-14T00:00:00"/>
    <x v="0"/>
    <n v="15"/>
    <x v="0"/>
    <x v="0"/>
    <n v="30"/>
    <s v="Yes"/>
    <n v="20"/>
    <n v="3"/>
    <n v="62"/>
  </r>
  <r>
    <n v="3310"/>
    <s v="Samantha Lopes"/>
    <x v="2"/>
    <d v="2024-05-15T00:00:00"/>
    <x v="1"/>
    <n v="10"/>
    <x v="1"/>
    <x v="1"/>
    <s v="-"/>
    <s v="Yes"/>
    <n v="20"/>
    <n v="15"/>
    <n v="15"/>
  </r>
  <r>
    <n v="3311"/>
    <s v="Tiago Martins"/>
    <x v="1"/>
    <d v="2024-05-16T00:00:00"/>
    <x v="0"/>
    <n v="5"/>
    <x v="0"/>
    <x v="1"/>
    <s v="-"/>
    <s v="No"/>
    <n v="0"/>
    <n v="1"/>
    <n v="4"/>
  </r>
  <r>
    <n v="3312"/>
    <s v="Ulysses Guimarães"/>
    <x v="0"/>
    <d v="2024-05-17T00:00:00"/>
    <x v="1"/>
    <n v="15"/>
    <x v="2"/>
    <x v="0"/>
    <n v="30"/>
    <s v="Yes"/>
    <n v="20"/>
    <n v="7"/>
    <n v="58"/>
  </r>
  <r>
    <n v="3313"/>
    <s v="Vanessa Silva"/>
    <x v="2"/>
    <d v="2024-05-18T00:00:00"/>
    <x v="0"/>
    <n v="10"/>
    <x v="0"/>
    <x v="1"/>
    <s v="-"/>
    <s v="Yes"/>
    <n v="20"/>
    <n v="10"/>
    <n v="20"/>
  </r>
  <r>
    <n v="3314"/>
    <s v="William Carneiro"/>
    <x v="1"/>
    <d v="2024-05-19T00:00:00"/>
    <x v="1"/>
    <n v="5"/>
    <x v="1"/>
    <x v="1"/>
    <s v="-"/>
    <s v="No"/>
    <n v="0"/>
    <n v="0"/>
    <n v="5"/>
  </r>
  <r>
    <n v="3315"/>
    <s v="Ximena Rocha"/>
    <x v="0"/>
    <d v="2024-05-20T00:00:00"/>
    <x v="0"/>
    <n v="15"/>
    <x v="0"/>
    <x v="0"/>
    <n v="30"/>
    <s v="Yes"/>
    <n v="20"/>
    <n v="20"/>
    <n v="45"/>
  </r>
  <r>
    <n v="3316"/>
    <s v="Yasmin Figueiredo"/>
    <x v="2"/>
    <d v="2024-05-21T00:00:00"/>
    <x v="1"/>
    <n v="10"/>
    <x v="2"/>
    <x v="1"/>
    <s v="-"/>
    <s v="Yes"/>
    <n v="20"/>
    <n v="15"/>
    <n v="15"/>
  </r>
  <r>
    <n v="3317"/>
    <s v="Zara Cunha"/>
    <x v="1"/>
    <d v="2024-05-22T00:00:00"/>
    <x v="0"/>
    <n v="5"/>
    <x v="0"/>
    <x v="1"/>
    <s v="-"/>
    <s v="No"/>
    <n v="0"/>
    <n v="1"/>
    <n v="4"/>
  </r>
  <r>
    <n v="3318"/>
    <s v="Alan Teixeira"/>
    <x v="0"/>
    <d v="2024-05-23T00:00:00"/>
    <x v="1"/>
    <n v="15"/>
    <x v="1"/>
    <x v="0"/>
    <n v="30"/>
    <s v="Yes"/>
    <n v="20"/>
    <n v="3"/>
    <n v="62"/>
  </r>
  <r>
    <n v="3319"/>
    <s v="Bárbara Oliveira"/>
    <x v="2"/>
    <d v="2024-05-24T00:00:00"/>
    <x v="0"/>
    <n v="10"/>
    <x v="0"/>
    <x v="1"/>
    <s v="-"/>
    <s v="Yes"/>
    <n v="20"/>
    <n v="10"/>
    <n v="20"/>
  </r>
  <r>
    <n v="3320"/>
    <s v="Carlos Junqueira"/>
    <x v="1"/>
    <d v="2024-05-25T00:00:00"/>
    <x v="1"/>
    <n v="5"/>
    <x v="2"/>
    <x v="1"/>
    <s v="-"/>
    <s v="No"/>
    <n v="0"/>
    <n v="0"/>
    <n v="5"/>
  </r>
  <r>
    <n v="3321"/>
    <s v="Daniela Moura"/>
    <x v="0"/>
    <d v="2024-05-26T00:00:00"/>
    <x v="0"/>
    <n v="15"/>
    <x v="0"/>
    <x v="0"/>
    <n v="30"/>
    <s v="Yes"/>
    <n v="20"/>
    <n v="5"/>
    <n v="60"/>
  </r>
  <r>
    <n v="3322"/>
    <s v="Eduardo Lima"/>
    <x v="2"/>
    <d v="2024-05-27T00:00:00"/>
    <x v="1"/>
    <n v="10"/>
    <x v="1"/>
    <x v="1"/>
    <s v="-"/>
    <s v="Yes"/>
    <n v="20"/>
    <n v="15"/>
    <n v="15"/>
  </r>
  <r>
    <n v="3323"/>
    <s v="Fabiana Araújo"/>
    <x v="1"/>
    <d v="2024-05-28T00:00:00"/>
    <x v="0"/>
    <n v="5"/>
    <x v="0"/>
    <x v="1"/>
    <s v="-"/>
    <s v="No"/>
    <n v="0"/>
    <n v="1"/>
    <n v="4"/>
  </r>
  <r>
    <n v="3324"/>
    <s v="Geraldo Ribeiro"/>
    <x v="0"/>
    <d v="2024-05-29T00:00:00"/>
    <x v="1"/>
    <n v="15"/>
    <x v="2"/>
    <x v="0"/>
    <n v="30"/>
    <s v="Yes"/>
    <n v="20"/>
    <n v="20"/>
    <n v="45"/>
  </r>
  <r>
    <n v="3325"/>
    <s v="Héctor Vargas"/>
    <x v="2"/>
    <d v="2024-05-30T00:00:00"/>
    <x v="0"/>
    <n v="10"/>
    <x v="2"/>
    <x v="1"/>
    <s v="-"/>
    <s v="Yes"/>
    <n v="20"/>
    <n v="15"/>
    <n v="15"/>
  </r>
  <r>
    <n v="3326"/>
    <s v="Isabela Fonseca"/>
    <x v="1"/>
    <d v="2024-05-31T00:00:00"/>
    <x v="1"/>
    <n v="5"/>
    <x v="1"/>
    <x v="1"/>
    <s v="-"/>
    <s v="No"/>
    <n v="0"/>
    <n v="0"/>
    <n v="5"/>
  </r>
  <r>
    <n v="3327"/>
    <s v="João Pedro Almeida"/>
    <x v="0"/>
    <d v="2024-06-01T00:00:00"/>
    <x v="0"/>
    <n v="15"/>
    <x v="0"/>
    <x v="0"/>
    <n v="30"/>
    <s v="Yes"/>
    <n v="20"/>
    <n v="7"/>
    <n v="58"/>
  </r>
  <r>
    <n v="3328"/>
    <s v="Klara Costa"/>
    <x v="2"/>
    <d v="2024-06-02T00:00:00"/>
    <x v="1"/>
    <n v="10"/>
    <x v="1"/>
    <x v="1"/>
    <s v="-"/>
    <s v="Yes"/>
    <n v="20"/>
    <n v="10"/>
    <n v="20"/>
  </r>
  <r>
    <n v="3329"/>
    <s v="Luciana Mendes"/>
    <x v="1"/>
    <d v="2024-06-03T00:00:00"/>
    <x v="0"/>
    <n v="5"/>
    <x v="2"/>
    <x v="1"/>
    <s v="-"/>
    <s v="No"/>
    <n v="0"/>
    <n v="1"/>
    <n v="4"/>
  </r>
  <r>
    <n v="3330"/>
    <s v="Marcelo Gouveia"/>
    <x v="0"/>
    <d v="2024-06-04T00:00:00"/>
    <x v="1"/>
    <n v="15"/>
    <x v="0"/>
    <x v="0"/>
    <n v="30"/>
    <s v="Yes"/>
    <n v="20"/>
    <n v="15"/>
    <n v="50"/>
  </r>
  <r>
    <n v="3331"/>
    <s v="Nívea Borges"/>
    <x v="2"/>
    <d v="2024-06-05T00:00:00"/>
    <x v="0"/>
    <n v="10"/>
    <x v="0"/>
    <x v="1"/>
    <s v="-"/>
    <s v="Yes"/>
    <n v="20"/>
    <n v="5"/>
    <n v="25"/>
  </r>
  <r>
    <n v="3332"/>
    <s v="Oscar Nogueira"/>
    <x v="1"/>
    <d v="2024-06-06T00:00:00"/>
    <x v="1"/>
    <n v="5"/>
    <x v="1"/>
    <x v="1"/>
    <s v="-"/>
    <s v="No"/>
    <n v="0"/>
    <n v="0"/>
    <n v="5"/>
  </r>
  <r>
    <n v="3333"/>
    <s v="Patrícia Alves"/>
    <x v="0"/>
    <d v="2024-06-07T00:00:00"/>
    <x v="0"/>
    <n v="15"/>
    <x v="2"/>
    <x v="0"/>
    <n v="30"/>
    <s v="Yes"/>
    <n v="20"/>
    <n v="20"/>
    <n v="45"/>
  </r>
  <r>
    <n v="3334"/>
    <s v="Rafaela Silva"/>
    <x v="2"/>
    <d v="2024-06-08T00:00:00"/>
    <x v="1"/>
    <n v="10"/>
    <x v="2"/>
    <x v="1"/>
    <s v="-"/>
    <s v="Yes"/>
    <n v="20"/>
    <n v="12"/>
    <n v="18"/>
  </r>
  <r>
    <n v="3335"/>
    <s v="Samantha Moraes"/>
    <x v="1"/>
    <d v="2024-06-09T00:00:00"/>
    <x v="0"/>
    <n v="5"/>
    <x v="0"/>
    <x v="1"/>
    <s v="-"/>
    <s v="No"/>
    <n v="0"/>
    <n v="2"/>
    <n v="3"/>
  </r>
  <r>
    <n v="3336"/>
    <s v="Tatiana Rocha"/>
    <x v="1"/>
    <d v="2024-06-10T00:00:00"/>
    <x v="0"/>
    <n v="5"/>
    <x v="0"/>
    <x v="1"/>
    <s v="-"/>
    <s v="No"/>
    <n v="0"/>
    <n v="0"/>
    <n v="5"/>
  </r>
  <r>
    <n v="3337"/>
    <s v="Ulisses Tavares"/>
    <x v="0"/>
    <d v="2024-06-11T00:00:00"/>
    <x v="1"/>
    <n v="15"/>
    <x v="2"/>
    <x v="0"/>
    <n v="30"/>
    <s v="Yes"/>
    <n v="20"/>
    <n v="7"/>
    <n v="58"/>
  </r>
  <r>
    <n v="3338"/>
    <s v="Víctor Lemos"/>
    <x v="2"/>
    <d v="2024-06-12T00:00:00"/>
    <x v="0"/>
    <n v="10"/>
    <x v="1"/>
    <x v="1"/>
    <s v="-"/>
    <s v="Yes"/>
    <n v="20"/>
    <n v="10"/>
    <n v="20"/>
  </r>
  <r>
    <n v="3339"/>
    <s v="Wilma Barros"/>
    <x v="1"/>
    <d v="2024-06-13T00:00:00"/>
    <x v="1"/>
    <n v="5"/>
    <x v="2"/>
    <x v="1"/>
    <s v="-"/>
    <s v="No"/>
    <n v="0"/>
    <n v="1"/>
    <n v="4"/>
  </r>
  <r>
    <n v="3340"/>
    <s v="Xavier Nascimento"/>
    <x v="0"/>
    <d v="2024-06-14T00:00:00"/>
    <x v="0"/>
    <n v="15"/>
    <x v="0"/>
    <x v="0"/>
    <n v="30"/>
    <s v="Yes"/>
    <n v="20"/>
    <n v="15"/>
    <n v="50"/>
  </r>
  <r>
    <n v="3341"/>
    <s v="Yago Pereira"/>
    <x v="2"/>
    <d v="2024-06-15T00:00:00"/>
    <x v="1"/>
    <n v="10"/>
    <x v="0"/>
    <x v="1"/>
    <s v="-"/>
    <s v="Yes"/>
    <n v="20"/>
    <n v="5"/>
    <n v="25"/>
  </r>
  <r>
    <n v="3342"/>
    <s v="Zilda Ferreira"/>
    <x v="1"/>
    <d v="2024-06-16T00:00:00"/>
    <x v="0"/>
    <n v="5"/>
    <x v="1"/>
    <x v="1"/>
    <s v="-"/>
    <s v="No"/>
    <n v="0"/>
    <n v="0"/>
    <n v="5"/>
  </r>
  <r>
    <n v="3343"/>
    <s v="Amanda Lopes"/>
    <x v="0"/>
    <d v="2024-06-17T00:00:00"/>
    <x v="1"/>
    <n v="15"/>
    <x v="2"/>
    <x v="0"/>
    <n v="30"/>
    <s v="Yes"/>
    <n v="20"/>
    <n v="20"/>
    <n v="45"/>
  </r>
  <r>
    <n v="3344"/>
    <s v="Bruno Miranda"/>
    <x v="2"/>
    <d v="2024-06-18T00:00:00"/>
    <x v="0"/>
    <n v="10"/>
    <x v="2"/>
    <x v="1"/>
    <s v="-"/>
    <s v="Yes"/>
    <n v="20"/>
    <n v="12"/>
    <n v="18"/>
  </r>
  <r>
    <n v="3345"/>
    <s v="Célia Torres"/>
    <x v="1"/>
    <d v="2024-06-19T00:00:00"/>
    <x v="1"/>
    <n v="5"/>
    <x v="0"/>
    <x v="1"/>
    <s v="-"/>
    <s v="No"/>
    <n v="0"/>
    <n v="2"/>
    <n v="3"/>
  </r>
  <r>
    <n v="3346"/>
    <s v="Diogo Souza"/>
    <x v="0"/>
    <d v="2024-06-20T00:00:00"/>
    <x v="0"/>
    <n v="15"/>
    <x v="1"/>
    <x v="0"/>
    <n v="30"/>
    <s v="Yes"/>
    <n v="20"/>
    <n v="5"/>
    <n v="60"/>
  </r>
  <r>
    <n v="3347"/>
    <s v="Elisa Castro"/>
    <x v="2"/>
    <d v="2024-06-21T00:00:00"/>
    <x v="1"/>
    <n v="10"/>
    <x v="0"/>
    <x v="1"/>
    <s v="-"/>
    <s v="Yes"/>
    <n v="20"/>
    <n v="10"/>
    <n v="20"/>
  </r>
  <r>
    <n v="3348"/>
    <s v="Fátima Lima"/>
    <x v="1"/>
    <d v="2024-06-22T00:00:00"/>
    <x v="0"/>
    <n v="5"/>
    <x v="2"/>
    <x v="1"/>
    <s v="-"/>
    <s v="No"/>
    <n v="0"/>
    <n v="0"/>
    <n v="5"/>
  </r>
  <r>
    <n v="3349"/>
    <s v="Geraldo Ribeiro"/>
    <x v="0"/>
    <d v="2024-06-23T00:00:00"/>
    <x v="1"/>
    <n v="15"/>
    <x v="0"/>
    <x v="0"/>
    <n v="30"/>
    <s v="Yes"/>
    <n v="20"/>
    <n v="3"/>
    <n v="62"/>
  </r>
  <r>
    <n v="3350"/>
    <s v="Hélio Martins"/>
    <x v="2"/>
    <d v="2024-06-24T00:00:00"/>
    <x v="0"/>
    <n v="10"/>
    <x v="1"/>
    <x v="1"/>
    <s v="-"/>
    <s v="Yes"/>
    <n v="20"/>
    <n v="15"/>
    <n v="15"/>
  </r>
  <r>
    <n v="3351"/>
    <s v="Íris Santos"/>
    <x v="1"/>
    <d v="2024-06-25T00:00:00"/>
    <x v="1"/>
    <n v="5"/>
    <x v="0"/>
    <x v="1"/>
    <s v="-"/>
    <s v="No"/>
    <n v="0"/>
    <n v="1"/>
    <n v="4"/>
  </r>
  <r>
    <n v="3352"/>
    <s v="João Marcelo"/>
    <x v="0"/>
    <d v="2024-06-26T00:00:00"/>
    <x v="0"/>
    <n v="15"/>
    <x v="2"/>
    <x v="0"/>
    <n v="30"/>
    <s v="Yes"/>
    <n v="20"/>
    <n v="7"/>
    <n v="58"/>
  </r>
  <r>
    <n v="3353"/>
    <s v="Larissa Gomes"/>
    <x v="2"/>
    <d v="2024-06-27T00:00:00"/>
    <x v="1"/>
    <n v="10"/>
    <x v="0"/>
    <x v="1"/>
    <s v="-"/>
    <s v="Yes"/>
    <n v="20"/>
    <n v="10"/>
    <n v="20"/>
  </r>
  <r>
    <n v="3354"/>
    <s v="Márcio Silva"/>
    <x v="1"/>
    <d v="2024-06-28T00:00:00"/>
    <x v="0"/>
    <n v="5"/>
    <x v="1"/>
    <x v="1"/>
    <s v="-"/>
    <s v="No"/>
    <n v="0"/>
    <n v="0"/>
    <n v="5"/>
  </r>
  <r>
    <n v="3355"/>
    <s v="Nadia Costa"/>
    <x v="0"/>
    <d v="2024-06-29T00:00:00"/>
    <x v="1"/>
    <n v="15"/>
    <x v="0"/>
    <x v="0"/>
    <n v="30"/>
    <s v="Yes"/>
    <n v="20"/>
    <n v="20"/>
    <n v="45"/>
  </r>
  <r>
    <n v="3356"/>
    <s v="Oscar Almeida"/>
    <x v="2"/>
    <d v="2024-06-30T00:00:00"/>
    <x v="0"/>
    <n v="10"/>
    <x v="2"/>
    <x v="1"/>
    <s v="-"/>
    <s v="Yes"/>
    <n v="20"/>
    <n v="15"/>
    <n v="15"/>
  </r>
  <r>
    <n v="3357"/>
    <s v="Patricia Soares"/>
    <x v="1"/>
    <d v="2024-07-01T00:00:00"/>
    <x v="1"/>
    <n v="5"/>
    <x v="0"/>
    <x v="1"/>
    <s v="-"/>
    <s v="No"/>
    <n v="0"/>
    <n v="1"/>
    <n v="4"/>
  </r>
  <r>
    <n v="3358"/>
    <s v="Quênia Barros"/>
    <x v="0"/>
    <d v="2024-07-02T00:00:00"/>
    <x v="0"/>
    <n v="15"/>
    <x v="1"/>
    <x v="0"/>
    <n v="30"/>
    <s v="Yes"/>
    <n v="20"/>
    <n v="3"/>
    <n v="62"/>
  </r>
  <r>
    <n v="3359"/>
    <s v="Rafael Torres"/>
    <x v="2"/>
    <d v="2024-07-03T00:00:00"/>
    <x v="1"/>
    <n v="10"/>
    <x v="0"/>
    <x v="1"/>
    <s v="-"/>
    <s v="Yes"/>
    <n v="20"/>
    <n v="10"/>
    <n v="20"/>
  </r>
  <r>
    <n v="3360"/>
    <s v="Silvia Nascimento"/>
    <x v="1"/>
    <d v="2024-07-04T00:00:00"/>
    <x v="0"/>
    <n v="5"/>
    <x v="2"/>
    <x v="1"/>
    <s v="-"/>
    <s v="No"/>
    <n v="0"/>
    <n v="0"/>
    <n v="5"/>
  </r>
  <r>
    <n v="3361"/>
    <s v="Tiago Mendes"/>
    <x v="0"/>
    <d v="2024-07-05T00:00:00"/>
    <x v="1"/>
    <n v="15"/>
    <x v="0"/>
    <x v="0"/>
    <n v="30"/>
    <s v="Yes"/>
    <n v="20"/>
    <n v="15"/>
    <n v="50"/>
  </r>
  <r>
    <n v="3362"/>
    <s v="Ursula Silva"/>
    <x v="2"/>
    <d v="2024-07-06T00:00:00"/>
    <x v="0"/>
    <n v="10"/>
    <x v="1"/>
    <x v="1"/>
    <s v="-"/>
    <s v="Yes"/>
    <n v="20"/>
    <n v="15"/>
    <n v="15"/>
  </r>
  <r>
    <n v="3363"/>
    <s v="Vanessa Moraes"/>
    <x v="1"/>
    <d v="2024-07-07T00:00:00"/>
    <x v="1"/>
    <n v="5"/>
    <x v="0"/>
    <x v="1"/>
    <s v="-"/>
    <s v="No"/>
    <n v="0"/>
    <n v="1"/>
    <n v="4"/>
  </r>
  <r>
    <n v="3364"/>
    <s v="Waldir Junior"/>
    <x v="0"/>
    <d v="2024-07-08T00:00:00"/>
    <x v="0"/>
    <n v="15"/>
    <x v="2"/>
    <x v="0"/>
    <n v="30"/>
    <s v="Yes"/>
    <n v="20"/>
    <n v="7"/>
    <n v="58"/>
  </r>
  <r>
    <n v="3365"/>
    <s v="Xavier Lopes"/>
    <x v="2"/>
    <d v="2024-07-09T00:00:00"/>
    <x v="1"/>
    <n v="10"/>
    <x v="0"/>
    <x v="1"/>
    <s v="-"/>
    <s v="Yes"/>
    <n v="20"/>
    <n v="10"/>
    <n v="20"/>
  </r>
  <r>
    <n v="3366"/>
    <s v="Yolanda Freitas"/>
    <x v="1"/>
    <d v="2024-07-10T00:00:00"/>
    <x v="0"/>
    <n v="5"/>
    <x v="0"/>
    <x v="1"/>
    <s v="-"/>
    <s v="No"/>
    <n v="0"/>
    <n v="0"/>
    <n v="5"/>
  </r>
  <r>
    <n v="3367"/>
    <s v="Zacarias Nunes"/>
    <x v="0"/>
    <d v="2024-07-11T00:00:00"/>
    <x v="1"/>
    <n v="15"/>
    <x v="2"/>
    <x v="0"/>
    <n v="30"/>
    <s v="Yes"/>
    <n v="20"/>
    <n v="7"/>
    <n v="58"/>
  </r>
  <r>
    <n v="3368"/>
    <s v="Ana Clara Barreto"/>
    <x v="2"/>
    <d v="2024-07-12T00:00:00"/>
    <x v="0"/>
    <n v="10"/>
    <x v="1"/>
    <x v="1"/>
    <s v="-"/>
    <s v="Yes"/>
    <n v="20"/>
    <n v="10"/>
    <n v="20"/>
  </r>
  <r>
    <n v="3369"/>
    <s v="Bruno Henrique"/>
    <x v="1"/>
    <d v="2024-07-13T00:00:00"/>
    <x v="1"/>
    <n v="5"/>
    <x v="2"/>
    <x v="1"/>
    <s v="-"/>
    <s v="No"/>
    <n v="0"/>
    <n v="1"/>
    <n v="4"/>
  </r>
  <r>
    <n v="3370"/>
    <s v="Carlos Eduardo"/>
    <x v="0"/>
    <d v="2024-07-14T00:00:00"/>
    <x v="0"/>
    <n v="15"/>
    <x v="0"/>
    <x v="0"/>
    <n v="30"/>
    <s v="Yes"/>
    <n v="20"/>
    <n v="15"/>
    <n v="50"/>
  </r>
  <r>
    <n v="3371"/>
    <s v="Débora Lima"/>
    <x v="2"/>
    <d v="2024-07-15T00:00:00"/>
    <x v="1"/>
    <n v="10"/>
    <x v="0"/>
    <x v="1"/>
    <s v="-"/>
    <s v="Yes"/>
    <n v="20"/>
    <n v="5"/>
    <n v="25"/>
  </r>
  <r>
    <n v="3372"/>
    <s v="Elisa Neves"/>
    <x v="1"/>
    <d v="2024-07-16T00:00:00"/>
    <x v="0"/>
    <n v="5"/>
    <x v="1"/>
    <x v="1"/>
    <s v="-"/>
    <s v="No"/>
    <n v="0"/>
    <n v="0"/>
    <n v="5"/>
  </r>
  <r>
    <n v="3373"/>
    <s v="Fabiano Gomes"/>
    <x v="0"/>
    <d v="2024-07-17T00:00:00"/>
    <x v="1"/>
    <n v="15"/>
    <x v="2"/>
    <x v="0"/>
    <n v="30"/>
    <s v="Yes"/>
    <n v="20"/>
    <n v="20"/>
    <n v="45"/>
  </r>
  <r>
    <n v="3374"/>
    <s v="Gisele Oliveira"/>
    <x v="2"/>
    <d v="2024-07-18T00:00:00"/>
    <x v="0"/>
    <n v="10"/>
    <x v="2"/>
    <x v="1"/>
    <s v="-"/>
    <s v="Yes"/>
    <n v="20"/>
    <n v="12"/>
    <n v="18"/>
  </r>
  <r>
    <n v="3375"/>
    <s v="Héctor Silva"/>
    <x v="1"/>
    <d v="2024-07-19T00:00:00"/>
    <x v="1"/>
    <n v="5"/>
    <x v="0"/>
    <x v="1"/>
    <s v="-"/>
    <s v="No"/>
    <n v="0"/>
    <n v="2"/>
    <n v="3"/>
  </r>
  <r>
    <n v="3376"/>
    <s v="Igor Martins"/>
    <x v="0"/>
    <d v="2024-07-20T00:00:00"/>
    <x v="0"/>
    <n v="15"/>
    <x v="1"/>
    <x v="0"/>
    <n v="30"/>
    <s v="Yes"/>
    <n v="20"/>
    <n v="5"/>
    <n v="60"/>
  </r>
  <r>
    <n v="3377"/>
    <s v="Joana Figueiredo"/>
    <x v="2"/>
    <d v="2024-07-21T00:00:00"/>
    <x v="1"/>
    <n v="10"/>
    <x v="0"/>
    <x v="1"/>
    <s v="-"/>
    <s v="Yes"/>
    <n v="20"/>
    <n v="10"/>
    <n v="20"/>
  </r>
  <r>
    <n v="3378"/>
    <s v="Kleber Machado"/>
    <x v="1"/>
    <d v="2024-07-22T00:00:00"/>
    <x v="0"/>
    <n v="5"/>
    <x v="2"/>
    <x v="1"/>
    <s v="-"/>
    <s v="No"/>
    <n v="0"/>
    <n v="0"/>
    <n v="5"/>
  </r>
  <r>
    <n v="3379"/>
    <s v="Luciana Santos"/>
    <x v="0"/>
    <d v="2024-07-23T00:00:00"/>
    <x v="1"/>
    <n v="15"/>
    <x v="0"/>
    <x v="0"/>
    <n v="30"/>
    <s v="Yes"/>
    <n v="20"/>
    <n v="3"/>
    <n v="62"/>
  </r>
  <r>
    <n v="3380"/>
    <s v="Marcos Teixeira"/>
    <x v="2"/>
    <d v="2024-07-24T00:00:00"/>
    <x v="0"/>
    <n v="10"/>
    <x v="1"/>
    <x v="1"/>
    <s v="-"/>
    <s v="Yes"/>
    <n v="20"/>
    <n v="15"/>
    <n v="15"/>
  </r>
  <r>
    <n v="3381"/>
    <s v="Natalia Costa"/>
    <x v="1"/>
    <d v="2024-07-25T00:00:00"/>
    <x v="1"/>
    <n v="5"/>
    <x v="0"/>
    <x v="1"/>
    <s v="-"/>
    <s v="No"/>
    <n v="0"/>
    <n v="1"/>
    <n v="4"/>
  </r>
  <r>
    <n v="3382"/>
    <s v="Oscar Ribeiro"/>
    <x v="0"/>
    <d v="2024-07-26T00:00:00"/>
    <x v="0"/>
    <n v="15"/>
    <x v="2"/>
    <x v="0"/>
    <n v="30"/>
    <s v="Yes"/>
    <n v="20"/>
    <n v="7"/>
    <n v="58"/>
  </r>
  <r>
    <n v="3383"/>
    <s v="Patricia Almeida"/>
    <x v="2"/>
    <d v="2024-07-27T00:00:00"/>
    <x v="1"/>
    <n v="10"/>
    <x v="0"/>
    <x v="1"/>
    <s v="-"/>
    <s v="Yes"/>
    <n v="20"/>
    <n v="10"/>
    <n v="20"/>
  </r>
  <r>
    <n v="3384"/>
    <s v="Quirino Junior"/>
    <x v="1"/>
    <d v="2024-07-28T00:00:00"/>
    <x v="0"/>
    <n v="5"/>
    <x v="1"/>
    <x v="1"/>
    <s v="-"/>
    <s v="No"/>
    <n v="0"/>
    <n v="0"/>
    <n v="5"/>
  </r>
  <r>
    <n v="3385"/>
    <s v="Renata Machado"/>
    <x v="0"/>
    <d v="2024-07-29T00:00:00"/>
    <x v="1"/>
    <n v="15"/>
    <x v="0"/>
    <x v="0"/>
    <n v="30"/>
    <s v="Yes"/>
    <n v="20"/>
    <n v="20"/>
    <n v="45"/>
  </r>
  <r>
    <n v="3386"/>
    <s v="Sônia Alves"/>
    <x v="2"/>
    <d v="2024-07-30T00:00:00"/>
    <x v="0"/>
    <n v="10"/>
    <x v="2"/>
    <x v="1"/>
    <s v="-"/>
    <s v="Yes"/>
    <n v="20"/>
    <n v="15"/>
    <n v="15"/>
  </r>
  <r>
    <n v="3387"/>
    <s v="Tiago Nunes"/>
    <x v="1"/>
    <d v="2024-07-31T00:00:00"/>
    <x v="1"/>
    <n v="5"/>
    <x v="0"/>
    <x v="1"/>
    <s v="-"/>
    <s v="No"/>
    <n v="0"/>
    <n v="1"/>
    <n v="4"/>
  </r>
  <r>
    <n v="3388"/>
    <s v="Ulysses Pereira"/>
    <x v="0"/>
    <d v="2024-08-01T00:00:00"/>
    <x v="0"/>
    <n v="15"/>
    <x v="1"/>
    <x v="0"/>
    <n v="30"/>
    <s v="Yes"/>
    <n v="20"/>
    <n v="3"/>
    <n v="62"/>
  </r>
  <r>
    <n v="3389"/>
    <s v="Vanessa Lima"/>
    <x v="2"/>
    <d v="2024-08-02T00:00:00"/>
    <x v="1"/>
    <n v="10"/>
    <x v="0"/>
    <x v="1"/>
    <s v="-"/>
    <s v="Yes"/>
    <n v="20"/>
    <n v="10"/>
    <n v="20"/>
  </r>
  <r>
    <n v="3390"/>
    <s v="Wagner Santos"/>
    <x v="1"/>
    <d v="2024-08-03T00:00:00"/>
    <x v="0"/>
    <n v="5"/>
    <x v="2"/>
    <x v="1"/>
    <s v="-"/>
    <s v="No"/>
    <n v="0"/>
    <n v="0"/>
    <n v="5"/>
  </r>
  <r>
    <n v="3391"/>
    <s v="Xuxa Meneghel"/>
    <x v="0"/>
    <d v="2024-08-04T00:00:00"/>
    <x v="1"/>
    <n v="15"/>
    <x v="0"/>
    <x v="0"/>
    <n v="30"/>
    <s v="Yes"/>
    <n v="20"/>
    <n v="15"/>
    <n v="50"/>
  </r>
  <r>
    <n v="3392"/>
    <s v="Yasmin Silva"/>
    <x v="2"/>
    <d v="2024-08-05T00:00:00"/>
    <x v="0"/>
    <n v="10"/>
    <x v="1"/>
    <x v="1"/>
    <s v="-"/>
    <s v="Yes"/>
    <n v="20"/>
    <n v="15"/>
    <n v="15"/>
  </r>
  <r>
    <n v="3393"/>
    <s v="Zacarias de Souza"/>
    <x v="1"/>
    <d v="2024-08-06T00:00:00"/>
    <x v="1"/>
    <n v="5"/>
    <x v="0"/>
    <x v="1"/>
    <s v="-"/>
    <s v="No"/>
    <n v="0"/>
    <n v="1"/>
    <n v="4"/>
  </r>
  <r>
    <n v="3394"/>
    <s v="André Lima"/>
    <x v="0"/>
    <d v="2024-08-07T00:00:00"/>
    <x v="0"/>
    <n v="15"/>
    <x v="2"/>
    <x v="0"/>
    <n v="30"/>
    <s v="Yes"/>
    <n v="20"/>
    <n v="7"/>
    <n v="58"/>
  </r>
  <r>
    <n v="3395"/>
    <s v="Bianca Freitas"/>
    <x v="2"/>
    <d v="2024-08-08T00:00:00"/>
    <x v="1"/>
    <n v="10"/>
    <x v="0"/>
    <x v="1"/>
    <s v="-"/>
    <s v="Yes"/>
    <n v="20"/>
    <n v="10"/>
    <n v="20"/>
  </r>
  <r>
    <n v="3396"/>
    <s v="Caio Mendes"/>
    <x v="1"/>
    <d v="2024-08-09T00:00:00"/>
    <x v="0"/>
    <n v="5"/>
    <x v="1"/>
    <x v="1"/>
    <s v="-"/>
    <s v="No"/>
    <n v="0"/>
    <n v="0"/>
    <n v="5"/>
  </r>
  <r>
    <n v="3397"/>
    <s v="Daniela Moura"/>
    <x v="0"/>
    <d v="2024-08-10T00:00:00"/>
    <x v="1"/>
    <n v="15"/>
    <x v="0"/>
    <x v="0"/>
    <n v="30"/>
    <s v="Yes"/>
    <n v="20"/>
    <n v="20"/>
    <n v="45"/>
  </r>
  <r>
    <n v="3398"/>
    <s v="Eduardo Costa"/>
    <x v="2"/>
    <d v="2024-08-11T00:00:00"/>
    <x v="0"/>
    <n v="10"/>
    <x v="2"/>
    <x v="1"/>
    <s v="-"/>
    <s v="Yes"/>
    <n v="20"/>
    <n v="15"/>
    <n v="15"/>
  </r>
  <r>
    <n v="3399"/>
    <s v="Fernanda Gomes"/>
    <x v="1"/>
    <d v="2024-08-12T00:00:00"/>
    <x v="1"/>
    <n v="5"/>
    <x v="0"/>
    <x v="1"/>
    <s v="-"/>
    <s v="No"/>
    <n v="0"/>
    <n v="1"/>
    <n v="4"/>
  </r>
  <r>
    <n v="3400"/>
    <s v="Guilherme Souza"/>
    <x v="0"/>
    <d v="2024-08-13T00:00:00"/>
    <x v="0"/>
    <n v="15"/>
    <x v="1"/>
    <x v="0"/>
    <n v="30"/>
    <s v="Yes"/>
    <n v="20"/>
    <n v="5"/>
    <n v="60"/>
  </r>
  <r>
    <n v="3401"/>
    <s v="Helena Ribeiro"/>
    <x v="2"/>
    <d v="2024-08-14T00:00:00"/>
    <x v="1"/>
    <n v="10"/>
    <x v="0"/>
    <x v="1"/>
    <s v="-"/>
    <s v="Yes"/>
    <n v="20"/>
    <n v="10"/>
    <n v="20"/>
  </r>
  <r>
    <n v="3402"/>
    <s v="Igor Santos"/>
    <x v="1"/>
    <d v="2024-08-15T00:00:00"/>
    <x v="0"/>
    <n v="5"/>
    <x v="2"/>
    <x v="1"/>
    <s v="-"/>
    <s v="No"/>
    <n v="0"/>
    <n v="0"/>
    <n v="5"/>
  </r>
  <r>
    <n v="3403"/>
    <s v="João Carvalho"/>
    <x v="0"/>
    <d v="2024-08-16T00:00:00"/>
    <x v="1"/>
    <n v="15"/>
    <x v="0"/>
    <x v="0"/>
    <n v="30"/>
    <s v="Yes"/>
    <n v="20"/>
    <n v="3"/>
    <n v="62"/>
  </r>
  <r>
    <n v="3404"/>
    <s v="Klara Fagundes"/>
    <x v="2"/>
    <d v="2024-08-17T00:00:00"/>
    <x v="0"/>
    <n v="10"/>
    <x v="1"/>
    <x v="1"/>
    <s v="-"/>
    <s v="Yes"/>
    <n v="20"/>
    <n v="15"/>
    <n v="15"/>
  </r>
  <r>
    <n v="3405"/>
    <s v="Lúcia Mendonça"/>
    <x v="1"/>
    <d v="2024-08-18T00:00:00"/>
    <x v="1"/>
    <n v="5"/>
    <x v="0"/>
    <x v="1"/>
    <s v="-"/>
    <s v="No"/>
    <n v="0"/>
    <n v="1"/>
    <n v="4"/>
  </r>
  <r>
    <n v="3406"/>
    <s v="Marcelo Novaes"/>
    <x v="1"/>
    <d v="2024-08-19T00:00:00"/>
    <x v="0"/>
    <n v="5"/>
    <x v="0"/>
    <x v="1"/>
    <s v="-"/>
    <s v="No"/>
    <n v="0"/>
    <n v="0"/>
    <n v="5"/>
  </r>
  <r>
    <n v="3407"/>
    <s v="Nina Pacheco"/>
    <x v="0"/>
    <d v="2024-08-20T00:00:00"/>
    <x v="1"/>
    <n v="15"/>
    <x v="2"/>
    <x v="0"/>
    <n v="30"/>
    <s v="Yes"/>
    <n v="20"/>
    <n v="7"/>
    <n v="58"/>
  </r>
  <r>
    <n v="3408"/>
    <s v="Olívia Rios"/>
    <x v="2"/>
    <d v="2024-08-21T00:00:00"/>
    <x v="0"/>
    <n v="10"/>
    <x v="1"/>
    <x v="1"/>
    <s v="-"/>
    <s v="Yes"/>
    <n v="20"/>
    <n v="10"/>
    <n v="20"/>
  </r>
  <r>
    <n v="3409"/>
    <s v="Paulo Quintana"/>
    <x v="1"/>
    <d v="2024-08-22T00:00:00"/>
    <x v="1"/>
    <n v="5"/>
    <x v="2"/>
    <x v="1"/>
    <s v="-"/>
    <s v="No"/>
    <n v="0"/>
    <n v="1"/>
    <n v="4"/>
  </r>
  <r>
    <n v="3410"/>
    <s v="Raquel Domingos"/>
    <x v="0"/>
    <d v="2024-08-23T00:00:00"/>
    <x v="0"/>
    <n v="15"/>
    <x v="0"/>
    <x v="0"/>
    <n v="30"/>
    <s v="Yes"/>
    <n v="20"/>
    <n v="15"/>
    <n v="50"/>
  </r>
  <r>
    <n v="3411"/>
    <s v="Samuel Viana"/>
    <x v="2"/>
    <d v="2024-08-24T00:00:00"/>
    <x v="1"/>
    <n v="10"/>
    <x v="0"/>
    <x v="1"/>
    <s v="-"/>
    <s v="Yes"/>
    <n v="20"/>
    <n v="5"/>
    <n v="25"/>
  </r>
  <r>
    <n v="3412"/>
    <s v="Tatiane Rocha"/>
    <x v="1"/>
    <d v="2024-08-25T00:00:00"/>
    <x v="0"/>
    <n v="5"/>
    <x v="1"/>
    <x v="1"/>
    <s v="-"/>
    <s v="No"/>
    <n v="0"/>
    <n v="0"/>
    <n v="5"/>
  </r>
  <r>
    <n v="3413"/>
    <s v="Ulysses Farias"/>
    <x v="0"/>
    <d v="2024-08-26T00:00:00"/>
    <x v="1"/>
    <n v="15"/>
    <x v="2"/>
    <x v="0"/>
    <n v="30"/>
    <s v="Yes"/>
    <n v="20"/>
    <n v="20"/>
    <n v="45"/>
  </r>
  <r>
    <n v="3414"/>
    <s v="Vanessa Moreira"/>
    <x v="2"/>
    <d v="2024-08-27T00:00:00"/>
    <x v="0"/>
    <n v="10"/>
    <x v="2"/>
    <x v="1"/>
    <s v="-"/>
    <s v="Yes"/>
    <n v="20"/>
    <n v="12"/>
    <n v="18"/>
  </r>
  <r>
    <n v="3415"/>
    <s v="William Carvalho"/>
    <x v="1"/>
    <d v="2024-08-28T00:00:00"/>
    <x v="1"/>
    <n v="5"/>
    <x v="0"/>
    <x v="1"/>
    <s v="-"/>
    <s v="No"/>
    <n v="0"/>
    <n v="2"/>
    <n v="3"/>
  </r>
  <r>
    <n v="3416"/>
    <s v="Ximena Barros"/>
    <x v="0"/>
    <d v="2024-08-29T00:00:00"/>
    <x v="0"/>
    <n v="15"/>
    <x v="1"/>
    <x v="0"/>
    <n v="30"/>
    <s v="Yes"/>
    <n v="20"/>
    <n v="5"/>
    <n v="60"/>
  </r>
  <r>
    <n v="3417"/>
    <s v="Yara Machado"/>
    <x v="2"/>
    <d v="2024-08-30T00:00:00"/>
    <x v="1"/>
    <n v="10"/>
    <x v="0"/>
    <x v="1"/>
    <s v="-"/>
    <s v="Yes"/>
    <n v="20"/>
    <n v="10"/>
    <n v="20"/>
  </r>
  <r>
    <n v="3418"/>
    <s v="Zacarias Costa"/>
    <x v="1"/>
    <d v="2024-08-31T00:00:00"/>
    <x v="0"/>
    <n v="5"/>
    <x v="2"/>
    <x v="1"/>
    <s v="-"/>
    <s v="No"/>
    <n v="0"/>
    <n v="0"/>
    <n v="5"/>
  </r>
  <r>
    <n v="3419"/>
    <s v="André Lopes"/>
    <x v="0"/>
    <d v="2024-09-01T00:00:00"/>
    <x v="1"/>
    <n v="15"/>
    <x v="0"/>
    <x v="0"/>
    <n v="30"/>
    <s v="Yes"/>
    <n v="20"/>
    <n v="3"/>
    <n v="62"/>
  </r>
  <r>
    <n v="3420"/>
    <s v="Beatriz Souza"/>
    <x v="2"/>
    <d v="2024-09-02T00:00:00"/>
    <x v="0"/>
    <n v="10"/>
    <x v="1"/>
    <x v="1"/>
    <s v="-"/>
    <s v="Yes"/>
    <n v="20"/>
    <n v="15"/>
    <n v="15"/>
  </r>
  <r>
    <n v="3421"/>
    <s v="Caio Pereira"/>
    <x v="1"/>
    <d v="2024-09-03T00:00:00"/>
    <x v="1"/>
    <n v="5"/>
    <x v="0"/>
    <x v="1"/>
    <s v="-"/>
    <s v="No"/>
    <n v="0"/>
    <n v="1"/>
    <n v="4"/>
  </r>
  <r>
    <n v="3422"/>
    <s v="Daniela Araújo"/>
    <x v="0"/>
    <d v="2024-09-04T00:00:00"/>
    <x v="0"/>
    <n v="15"/>
    <x v="2"/>
    <x v="0"/>
    <n v="30"/>
    <s v="Yes"/>
    <n v="20"/>
    <n v="7"/>
    <n v="58"/>
  </r>
  <r>
    <n v="3423"/>
    <s v="Eduardo Santos"/>
    <x v="2"/>
    <d v="2024-09-05T00:00:00"/>
    <x v="1"/>
    <n v="10"/>
    <x v="0"/>
    <x v="1"/>
    <s v="-"/>
    <s v="Yes"/>
    <n v="20"/>
    <n v="10"/>
    <n v="20"/>
  </r>
  <r>
    <n v="3424"/>
    <s v="Fernanda Lima"/>
    <x v="1"/>
    <d v="2024-09-06T00:00:00"/>
    <x v="0"/>
    <n v="5"/>
    <x v="1"/>
    <x v="1"/>
    <s v="-"/>
    <s v="No"/>
    <n v="0"/>
    <n v="0"/>
    <n v="5"/>
  </r>
  <r>
    <n v="3425"/>
    <s v="Gabriel Teixeira"/>
    <x v="0"/>
    <d v="2024-09-07T00:00:00"/>
    <x v="1"/>
    <n v="15"/>
    <x v="0"/>
    <x v="0"/>
    <n v="30"/>
    <s v="Yes"/>
    <n v="20"/>
    <n v="20"/>
    <n v="45"/>
  </r>
  <r>
    <n v="3426"/>
    <s v="Helena Ribeiro"/>
    <x v="2"/>
    <d v="2024-09-08T00:00:00"/>
    <x v="0"/>
    <n v="10"/>
    <x v="2"/>
    <x v="1"/>
    <s v="-"/>
    <s v="Yes"/>
    <n v="20"/>
    <n v="15"/>
    <n v="15"/>
  </r>
  <r>
    <n v="3427"/>
    <s v="Igor Mendes"/>
    <x v="1"/>
    <d v="2024-09-09T00:00:00"/>
    <x v="1"/>
    <n v="5"/>
    <x v="0"/>
    <x v="1"/>
    <s v="-"/>
    <s v="No"/>
    <n v="0"/>
    <n v="1"/>
    <n v="4"/>
  </r>
  <r>
    <n v="3428"/>
    <s v="Joana Silveira"/>
    <x v="0"/>
    <d v="2024-09-10T00:00:00"/>
    <x v="0"/>
    <n v="15"/>
    <x v="1"/>
    <x v="0"/>
    <n v="30"/>
    <s v="Yes"/>
    <n v="20"/>
    <n v="3"/>
    <n v="62"/>
  </r>
  <r>
    <n v="3429"/>
    <s v="Lucas Martins"/>
    <x v="2"/>
    <d v="2024-09-11T00:00:00"/>
    <x v="1"/>
    <n v="10"/>
    <x v="0"/>
    <x v="1"/>
    <s v="-"/>
    <s v="Yes"/>
    <n v="20"/>
    <n v="10"/>
    <n v="20"/>
  </r>
  <r>
    <n v="3430"/>
    <s v="Marcela Gouveia"/>
    <x v="1"/>
    <d v="2024-09-12T00:00:00"/>
    <x v="0"/>
    <n v="5"/>
    <x v="2"/>
    <x v="1"/>
    <s v="-"/>
    <s v="No"/>
    <n v="0"/>
    <n v="0"/>
    <n v="5"/>
  </r>
  <r>
    <n v="3431"/>
    <s v="Nicolas Borges"/>
    <x v="0"/>
    <d v="2024-09-13T00:00:00"/>
    <x v="1"/>
    <n v="15"/>
    <x v="0"/>
    <x v="0"/>
    <n v="30"/>
    <s v="Yes"/>
    <n v="20"/>
    <n v="15"/>
    <n v="50"/>
  </r>
  <r>
    <n v="3432"/>
    <s v="Olivia Freitas"/>
    <x v="2"/>
    <d v="2024-09-14T00:00:00"/>
    <x v="0"/>
    <n v="10"/>
    <x v="1"/>
    <x v="1"/>
    <s v="-"/>
    <s v="Yes"/>
    <n v="20"/>
    <n v="15"/>
    <n v="15"/>
  </r>
  <r>
    <n v="3433"/>
    <s v="Paulo Nogueira"/>
    <x v="1"/>
    <d v="2024-09-15T00:00:00"/>
    <x v="1"/>
    <n v="5"/>
    <x v="0"/>
    <x v="1"/>
    <s v="-"/>
    <s v="No"/>
    <n v="0"/>
    <n v="1"/>
    <n v="4"/>
  </r>
  <r>
    <n v="3434"/>
    <s v="Raquel Andrade"/>
    <x v="0"/>
    <d v="2024-09-16T00:00:00"/>
    <x v="0"/>
    <n v="15"/>
    <x v="2"/>
    <x v="0"/>
    <n v="30"/>
    <s v="Yes"/>
    <n v="20"/>
    <n v="7"/>
    <n v="58"/>
  </r>
  <r>
    <n v="3435"/>
    <s v="Sônia Carvalho"/>
    <x v="2"/>
    <d v="2024-09-17T00:00:00"/>
    <x v="1"/>
    <n v="10"/>
    <x v="0"/>
    <x v="1"/>
    <s v="-"/>
    <s v="Yes"/>
    <n v="20"/>
    <n v="10"/>
    <n v="20"/>
  </r>
  <r>
    <n v="3436"/>
    <s v="Tiago Rodrigues"/>
    <x v="1"/>
    <d v="2024-09-18T00:00:00"/>
    <x v="0"/>
    <n v="5"/>
    <x v="0"/>
    <x v="1"/>
    <s v="-"/>
    <s v="No"/>
    <n v="0"/>
    <n v="0"/>
    <n v="5"/>
  </r>
  <r>
    <n v="3437"/>
    <s v="Ursula Monteiro"/>
    <x v="0"/>
    <d v="2024-09-19T00:00:00"/>
    <x v="1"/>
    <n v="15"/>
    <x v="2"/>
    <x v="0"/>
    <n v="30"/>
    <s v="Yes"/>
    <n v="20"/>
    <n v="7"/>
    <n v="58"/>
  </r>
  <r>
    <n v="3438"/>
    <s v="Vanessa Pereira"/>
    <x v="2"/>
    <d v="2024-09-20T00:00:00"/>
    <x v="0"/>
    <n v="10"/>
    <x v="1"/>
    <x v="1"/>
    <s v="-"/>
    <s v="Yes"/>
    <n v="20"/>
    <n v="10"/>
    <n v="20"/>
  </r>
  <r>
    <n v="3439"/>
    <s v="Walter Silva"/>
    <x v="1"/>
    <d v="2024-09-21T00:00:00"/>
    <x v="1"/>
    <n v="5"/>
    <x v="2"/>
    <x v="1"/>
    <s v="-"/>
    <s v="No"/>
    <n v="0"/>
    <n v="1"/>
    <n v="4"/>
  </r>
  <r>
    <n v="3440"/>
    <s v="Xavier Almeida"/>
    <x v="0"/>
    <d v="2024-09-22T00:00:00"/>
    <x v="0"/>
    <n v="15"/>
    <x v="0"/>
    <x v="0"/>
    <n v="30"/>
    <s v="Yes"/>
    <n v="20"/>
    <n v="15"/>
    <n v="50"/>
  </r>
  <r>
    <n v="3441"/>
    <s v="Yasmine Correia"/>
    <x v="2"/>
    <d v="2024-09-23T00:00:00"/>
    <x v="1"/>
    <n v="10"/>
    <x v="0"/>
    <x v="1"/>
    <s v="-"/>
    <s v="Yes"/>
    <n v="20"/>
    <n v="5"/>
    <n v="25"/>
  </r>
  <r>
    <n v="3442"/>
    <s v="Zacarias Almeida"/>
    <x v="1"/>
    <d v="2024-09-24T00:00:00"/>
    <x v="0"/>
    <n v="5"/>
    <x v="1"/>
    <x v="1"/>
    <s v="-"/>
    <s v="No"/>
    <n v="0"/>
    <n v="0"/>
    <n v="5"/>
  </r>
  <r>
    <n v="3443"/>
    <s v="Amanda Costa"/>
    <x v="0"/>
    <d v="2024-09-25T00:00:00"/>
    <x v="1"/>
    <n v="15"/>
    <x v="2"/>
    <x v="0"/>
    <n v="30"/>
    <s v="Yes"/>
    <n v="20"/>
    <n v="20"/>
    <n v="45"/>
  </r>
  <r>
    <n v="3444"/>
    <s v="Bruno Ferreira"/>
    <x v="2"/>
    <d v="2024-09-26T00:00:00"/>
    <x v="0"/>
    <n v="10"/>
    <x v="2"/>
    <x v="1"/>
    <s v="-"/>
    <s v="Yes"/>
    <n v="20"/>
    <n v="12"/>
    <n v="18"/>
  </r>
  <r>
    <n v="3445"/>
    <s v="Carla Dias"/>
    <x v="1"/>
    <d v="2024-09-27T00:00:00"/>
    <x v="1"/>
    <n v="5"/>
    <x v="0"/>
    <x v="1"/>
    <s v="-"/>
    <s v="No"/>
    <n v="0"/>
    <n v="2"/>
    <n v="3"/>
  </r>
  <r>
    <n v="3446"/>
    <s v="Diogo Martins"/>
    <x v="0"/>
    <d v="2024-09-28T00:00:00"/>
    <x v="0"/>
    <n v="15"/>
    <x v="1"/>
    <x v="0"/>
    <n v="30"/>
    <s v="Yes"/>
    <n v="20"/>
    <n v="5"/>
    <n v="60"/>
  </r>
  <r>
    <n v="3447"/>
    <s v="Elisa Campos"/>
    <x v="2"/>
    <d v="2024-09-29T00:00:00"/>
    <x v="1"/>
    <n v="10"/>
    <x v="0"/>
    <x v="1"/>
    <s v="-"/>
    <s v="Yes"/>
    <n v="20"/>
    <n v="10"/>
    <n v="20"/>
  </r>
  <r>
    <n v="3448"/>
    <s v="Fabiana Lima"/>
    <x v="1"/>
    <d v="2024-09-30T00:00:00"/>
    <x v="0"/>
    <n v="5"/>
    <x v="2"/>
    <x v="1"/>
    <s v="-"/>
    <s v="No"/>
    <n v="0"/>
    <n v="0"/>
    <n v="5"/>
  </r>
  <r>
    <n v="3449"/>
    <s v="Gabriel Santos"/>
    <x v="0"/>
    <d v="2024-10-01T00:00:00"/>
    <x v="1"/>
    <n v="15"/>
    <x v="0"/>
    <x v="0"/>
    <n v="30"/>
    <s v="Yes"/>
    <n v="20"/>
    <n v="3"/>
    <n v="62"/>
  </r>
  <r>
    <n v="3450"/>
    <s v="Helena Ferreira"/>
    <x v="2"/>
    <d v="2024-10-02T00:00:00"/>
    <x v="0"/>
    <n v="10"/>
    <x v="1"/>
    <x v="1"/>
    <s v="-"/>
    <s v="Yes"/>
    <n v="20"/>
    <n v="15"/>
    <n v="15"/>
  </r>
  <r>
    <n v="3451"/>
    <s v="Ígor Nunes"/>
    <x v="1"/>
    <d v="2024-10-03T00:00:00"/>
    <x v="1"/>
    <n v="5"/>
    <x v="0"/>
    <x v="1"/>
    <s v="-"/>
    <s v="No"/>
    <n v="0"/>
    <n v="1"/>
    <n v="4"/>
  </r>
  <r>
    <n v="3452"/>
    <s v="Joana Silveira"/>
    <x v="0"/>
    <d v="2024-10-04T00:00:00"/>
    <x v="0"/>
    <n v="15"/>
    <x v="2"/>
    <x v="0"/>
    <n v="30"/>
    <s v="Yes"/>
    <n v="20"/>
    <n v="7"/>
    <n v="58"/>
  </r>
  <r>
    <n v="3453"/>
    <s v="Kléber Oliveira"/>
    <x v="2"/>
    <d v="2024-10-05T00:00:00"/>
    <x v="1"/>
    <n v="10"/>
    <x v="0"/>
    <x v="1"/>
    <s v="-"/>
    <s v="Yes"/>
    <n v="20"/>
    <n v="10"/>
    <n v="20"/>
  </r>
  <r>
    <n v="3454"/>
    <s v="Luciana Morais"/>
    <x v="1"/>
    <d v="2024-10-06T00:00:00"/>
    <x v="0"/>
    <n v="5"/>
    <x v="1"/>
    <x v="1"/>
    <s v="-"/>
    <s v="No"/>
    <n v="0"/>
    <n v="0"/>
    <n v="5"/>
  </r>
  <r>
    <n v="3455"/>
    <s v="Marcos Vinícius"/>
    <x v="0"/>
    <d v="2024-10-07T00:00:00"/>
    <x v="1"/>
    <n v="15"/>
    <x v="0"/>
    <x v="0"/>
    <n v="30"/>
    <s v="Yes"/>
    <n v="20"/>
    <n v="20"/>
    <n v="45"/>
  </r>
  <r>
    <n v="3456"/>
    <s v="Natália Barros"/>
    <x v="2"/>
    <d v="2024-10-08T00:00:00"/>
    <x v="0"/>
    <n v="10"/>
    <x v="2"/>
    <x v="1"/>
    <s v="-"/>
    <s v="Yes"/>
    <n v="20"/>
    <n v="15"/>
    <n v="15"/>
  </r>
  <r>
    <n v="3457"/>
    <s v="Oscar Sampaio"/>
    <x v="1"/>
    <d v="2024-10-09T00:00:00"/>
    <x v="1"/>
    <n v="5"/>
    <x v="0"/>
    <x v="1"/>
    <s v="-"/>
    <s v="No"/>
    <n v="0"/>
    <n v="1"/>
    <n v="4"/>
  </r>
  <r>
    <n v="3458"/>
    <s v="Patrícia Leite"/>
    <x v="0"/>
    <d v="2024-10-10T00:00:00"/>
    <x v="0"/>
    <n v="15"/>
    <x v="1"/>
    <x v="0"/>
    <n v="30"/>
    <s v="Yes"/>
    <n v="20"/>
    <n v="3"/>
    <n v="62"/>
  </r>
  <r>
    <n v="3459"/>
    <s v="Quênia Rocha"/>
    <x v="2"/>
    <d v="2024-10-11T00:00:00"/>
    <x v="1"/>
    <n v="10"/>
    <x v="0"/>
    <x v="1"/>
    <s v="-"/>
    <s v="Yes"/>
    <n v="20"/>
    <n v="10"/>
    <n v="20"/>
  </r>
  <r>
    <n v="3460"/>
    <s v="Rafael Torres"/>
    <x v="1"/>
    <d v="2024-10-12T00:00:00"/>
    <x v="0"/>
    <n v="5"/>
    <x v="2"/>
    <x v="1"/>
    <s v="-"/>
    <s v="No"/>
    <n v="0"/>
    <n v="0"/>
    <n v="5"/>
  </r>
  <r>
    <n v="3461"/>
    <s v="Sandra Gouveia"/>
    <x v="0"/>
    <d v="2024-10-13T00:00:00"/>
    <x v="1"/>
    <n v="15"/>
    <x v="0"/>
    <x v="0"/>
    <n v="30"/>
    <s v="Yes"/>
    <n v="20"/>
    <n v="15"/>
    <n v="50"/>
  </r>
  <r>
    <n v="3462"/>
    <s v="Tiago Lacerda"/>
    <x v="2"/>
    <d v="2024-10-14T00:00:00"/>
    <x v="0"/>
    <n v="10"/>
    <x v="1"/>
    <x v="1"/>
    <s v="-"/>
    <s v="Yes"/>
    <n v="20"/>
    <n v="15"/>
    <n v="15"/>
  </r>
  <r>
    <n v="3463"/>
    <s v="Ursula Fonseca"/>
    <x v="1"/>
    <d v="2024-10-15T00:00:00"/>
    <x v="1"/>
    <n v="5"/>
    <x v="0"/>
    <x v="1"/>
    <s v="-"/>
    <s v="No"/>
    <n v="0"/>
    <n v="1"/>
    <n v="4"/>
  </r>
  <r>
    <n v="3464"/>
    <s v="Vanessa Andrade"/>
    <x v="0"/>
    <d v="2024-10-16T00:00:00"/>
    <x v="0"/>
    <n v="15"/>
    <x v="2"/>
    <x v="0"/>
    <n v="30"/>
    <s v="Yes"/>
    <n v="20"/>
    <n v="7"/>
    <n v="58"/>
  </r>
  <r>
    <n v="3465"/>
    <s v="William Castro"/>
    <x v="2"/>
    <d v="2024-10-17T00:00:00"/>
    <x v="1"/>
    <n v="10"/>
    <x v="0"/>
    <x v="1"/>
    <s v="-"/>
    <s v="Yes"/>
    <n v="20"/>
    <n v="10"/>
    <n v="20"/>
  </r>
  <r>
    <n v="3466"/>
    <s v="Xavier Monteiro"/>
    <x v="1"/>
    <d v="2024-10-18T00:00:00"/>
    <x v="0"/>
    <n v="5"/>
    <x v="1"/>
    <x v="1"/>
    <s v="-"/>
    <s v="No"/>
    <n v="0"/>
    <n v="0"/>
    <n v="5"/>
  </r>
  <r>
    <n v="3467"/>
    <s v="Yasmin Figueira"/>
    <x v="0"/>
    <d v="2024-10-19T00:00:00"/>
    <x v="1"/>
    <n v="15"/>
    <x v="0"/>
    <x v="0"/>
    <n v="30"/>
    <s v="Yes"/>
    <n v="20"/>
    <n v="15"/>
    <n v="50"/>
  </r>
  <r>
    <n v="3468"/>
    <s v="Zacarias Mendonça"/>
    <x v="2"/>
    <d v="2024-10-20T00:00:00"/>
    <x v="0"/>
    <n v="10"/>
    <x v="2"/>
    <x v="1"/>
    <s v="-"/>
    <s v="Yes"/>
    <n v="20"/>
    <n v="12"/>
    <n v="18"/>
  </r>
  <r>
    <n v="3469"/>
    <s v="Amanda Menezes"/>
    <x v="1"/>
    <d v="2024-10-21T00:00:00"/>
    <x v="1"/>
    <n v="5"/>
    <x v="0"/>
    <x v="1"/>
    <s v="-"/>
    <s v="No"/>
    <n v="0"/>
    <n v="2"/>
    <n v="3"/>
  </r>
  <r>
    <n v="3470"/>
    <s v="Bruno Santos"/>
    <x v="0"/>
    <d v="2024-10-22T00:00:00"/>
    <x v="0"/>
    <n v="15"/>
    <x v="1"/>
    <x v="0"/>
    <n v="30"/>
    <s v="Yes"/>
    <n v="20"/>
    <n v="5"/>
    <n v="60"/>
  </r>
  <r>
    <n v="3471"/>
    <s v="Carla Ferreira"/>
    <x v="2"/>
    <d v="2024-10-23T00:00:00"/>
    <x v="1"/>
    <n v="10"/>
    <x v="0"/>
    <x v="1"/>
    <s v="-"/>
    <s v="Yes"/>
    <n v="20"/>
    <n v="10"/>
    <n v="20"/>
  </r>
  <r>
    <n v="3472"/>
    <s v="Diogo Alves"/>
    <x v="1"/>
    <d v="2024-10-24T00:00:00"/>
    <x v="0"/>
    <n v="5"/>
    <x v="2"/>
    <x v="1"/>
    <s v="-"/>
    <s v="No"/>
    <n v="0"/>
    <n v="0"/>
    <n v="5"/>
  </r>
  <r>
    <n v="3473"/>
    <s v="Elisa Neves"/>
    <x v="0"/>
    <d v="2024-10-25T00:00:00"/>
    <x v="1"/>
    <n v="15"/>
    <x v="0"/>
    <x v="0"/>
    <n v="30"/>
    <s v="Yes"/>
    <n v="20"/>
    <n v="3"/>
    <n v="62"/>
  </r>
  <r>
    <n v="3474"/>
    <s v="Fabiano Pires"/>
    <x v="2"/>
    <d v="2024-10-26T00:00:00"/>
    <x v="0"/>
    <n v="10"/>
    <x v="1"/>
    <x v="1"/>
    <s v="-"/>
    <s v="Yes"/>
    <n v="20"/>
    <n v="15"/>
    <n v="15"/>
  </r>
  <r>
    <n v="3475"/>
    <s v="Giovana Ribeiro"/>
    <x v="1"/>
    <d v="2024-10-27T00:00:00"/>
    <x v="1"/>
    <n v="5"/>
    <x v="0"/>
    <x v="1"/>
    <s v="-"/>
    <s v="No"/>
    <n v="0"/>
    <n v="1"/>
    <n v="4"/>
  </r>
  <r>
    <n v="3476"/>
    <s v="Hélio Costa"/>
    <x v="0"/>
    <d v="2024-10-28T00:00:00"/>
    <x v="0"/>
    <n v="15"/>
    <x v="2"/>
    <x v="0"/>
    <n v="30"/>
    <s v="Yes"/>
    <n v="20"/>
    <n v="7"/>
    <n v="58"/>
  </r>
  <r>
    <n v="3477"/>
    <s v="Íris Loureiro"/>
    <x v="2"/>
    <d v="2024-10-29T00:00:00"/>
    <x v="1"/>
    <n v="10"/>
    <x v="0"/>
    <x v="1"/>
    <s v="-"/>
    <s v="Yes"/>
    <n v="20"/>
    <n v="10"/>
    <n v="20"/>
  </r>
  <r>
    <n v="3478"/>
    <s v="João Pereira"/>
    <x v="1"/>
    <d v="2024-10-30T00:00:00"/>
    <x v="0"/>
    <n v="5"/>
    <x v="1"/>
    <x v="1"/>
    <s v="-"/>
    <s v="No"/>
    <n v="0"/>
    <n v="0"/>
    <n v="5"/>
  </r>
  <r>
    <n v="3479"/>
    <s v="Klara Silva"/>
    <x v="0"/>
    <d v="2024-10-31T00:00:00"/>
    <x v="1"/>
    <n v="15"/>
    <x v="0"/>
    <x v="0"/>
    <n v="30"/>
    <s v="Yes"/>
    <n v="20"/>
    <n v="20"/>
    <n v="45"/>
  </r>
  <r>
    <n v="3480"/>
    <s v="Luciana Barros"/>
    <x v="2"/>
    <d v="2024-11-01T00:00:00"/>
    <x v="0"/>
    <n v="10"/>
    <x v="2"/>
    <x v="1"/>
    <s v="-"/>
    <s v="Yes"/>
    <n v="20"/>
    <n v="15"/>
    <n v="15"/>
  </r>
  <r>
    <n v="3481"/>
    <s v="Marcos Gomes"/>
    <x v="1"/>
    <d v="2024-11-02T00:00:00"/>
    <x v="1"/>
    <n v="5"/>
    <x v="0"/>
    <x v="1"/>
    <s v="-"/>
    <s v="No"/>
    <n v="0"/>
    <n v="1"/>
    <n v="4"/>
  </r>
  <r>
    <n v="3482"/>
    <s v="Natália Soares"/>
    <x v="0"/>
    <d v="2024-11-03T00:00:00"/>
    <x v="0"/>
    <n v="15"/>
    <x v="1"/>
    <x v="0"/>
    <n v="30"/>
    <s v="Yes"/>
    <n v="20"/>
    <n v="3"/>
    <n v="62"/>
  </r>
  <r>
    <n v="3483"/>
    <s v="Oscar Machado"/>
    <x v="2"/>
    <d v="2024-11-04T00:00:00"/>
    <x v="1"/>
    <n v="10"/>
    <x v="0"/>
    <x v="1"/>
    <s v="-"/>
    <s v="Yes"/>
    <n v="20"/>
    <n v="10"/>
    <n v="20"/>
  </r>
  <r>
    <n v="3484"/>
    <s v="Patrícia Lima"/>
    <x v="1"/>
    <d v="2024-11-05T00:00:00"/>
    <x v="0"/>
    <n v="5"/>
    <x v="2"/>
    <x v="1"/>
    <s v="-"/>
    <s v="No"/>
    <n v="0"/>
    <n v="0"/>
    <n v="5"/>
  </r>
  <r>
    <n v="3485"/>
    <s v="Quirino Neto"/>
    <x v="0"/>
    <d v="2024-11-06T00:00:00"/>
    <x v="1"/>
    <n v="15"/>
    <x v="0"/>
    <x v="0"/>
    <n v="30"/>
    <s v="Yes"/>
    <n v="20"/>
    <n v="15"/>
    <n v="50"/>
  </r>
  <r>
    <n v="3486"/>
    <s v="Rafaela Souza"/>
    <x v="1"/>
    <d v="2024-11-07T00:00:00"/>
    <x v="0"/>
    <n v="5"/>
    <x v="0"/>
    <x v="1"/>
    <s v="-"/>
    <s v="No"/>
    <n v="0"/>
    <n v="0"/>
    <n v="5"/>
  </r>
  <r>
    <n v="3487"/>
    <s v="Sandro Almeida"/>
    <x v="0"/>
    <d v="2024-11-08T00:00:00"/>
    <x v="1"/>
    <n v="15"/>
    <x v="2"/>
    <x v="0"/>
    <n v="30"/>
    <s v="Yes"/>
    <n v="20"/>
    <n v="7"/>
    <n v="58"/>
  </r>
  <r>
    <n v="3488"/>
    <s v="Tânia Ribeiro"/>
    <x v="2"/>
    <d v="2024-11-09T00:00:00"/>
    <x v="0"/>
    <n v="10"/>
    <x v="1"/>
    <x v="1"/>
    <s v="-"/>
    <s v="Yes"/>
    <n v="20"/>
    <n v="10"/>
    <n v="20"/>
  </r>
  <r>
    <n v="3489"/>
    <s v="Ugo Dias"/>
    <x v="1"/>
    <d v="2024-11-10T00:00:00"/>
    <x v="1"/>
    <n v="5"/>
    <x v="2"/>
    <x v="1"/>
    <s v="-"/>
    <s v="No"/>
    <n v="0"/>
    <n v="1"/>
    <n v="4"/>
  </r>
  <r>
    <n v="3490"/>
    <s v="Valéria Lima"/>
    <x v="0"/>
    <d v="2024-11-11T00:00:00"/>
    <x v="0"/>
    <n v="15"/>
    <x v="0"/>
    <x v="0"/>
    <n v="30"/>
    <s v="Yes"/>
    <n v="20"/>
    <n v="15"/>
    <n v="50"/>
  </r>
  <r>
    <n v="3491"/>
    <s v="William Fernandes"/>
    <x v="2"/>
    <d v="2024-11-12T00:00:00"/>
    <x v="1"/>
    <n v="10"/>
    <x v="0"/>
    <x v="1"/>
    <s v="-"/>
    <s v="Yes"/>
    <n v="20"/>
    <n v="5"/>
    <n v="25"/>
  </r>
  <r>
    <n v="3492"/>
    <s v="Xuxa Mendes"/>
    <x v="1"/>
    <d v="2024-11-13T00:00:00"/>
    <x v="0"/>
    <n v="5"/>
    <x v="1"/>
    <x v="1"/>
    <s v="-"/>
    <s v="No"/>
    <n v="0"/>
    <n v="0"/>
    <n v="5"/>
  </r>
  <r>
    <n v="3493"/>
    <s v="Ygor Farias"/>
    <x v="0"/>
    <d v="2024-11-14T00:00:00"/>
    <x v="1"/>
    <n v="15"/>
    <x v="2"/>
    <x v="0"/>
    <n v="30"/>
    <s v="Yes"/>
    <n v="20"/>
    <n v="20"/>
    <n v="45"/>
  </r>
  <r>
    <n v="3494"/>
    <s v="Zilda Barros"/>
    <x v="2"/>
    <d v="2024-11-15T00:00:00"/>
    <x v="0"/>
    <n v="10"/>
    <x v="2"/>
    <x v="1"/>
    <s v="-"/>
    <s v="Yes"/>
    <n v="20"/>
    <n v="12"/>
    <n v="18"/>
  </r>
  <r>
    <n v="3495"/>
    <s v="Amanda Santos"/>
    <x v="1"/>
    <d v="2024-11-16T00:00:00"/>
    <x v="1"/>
    <n v="5"/>
    <x v="0"/>
    <x v="1"/>
    <s v="-"/>
    <s v="No"/>
    <n v="0"/>
    <n v="2"/>
    <n v="3"/>
  </r>
  <r>
    <n v="3496"/>
    <s v="Bruno Costa"/>
    <x v="0"/>
    <d v="2024-11-17T00:00:00"/>
    <x v="0"/>
    <n v="15"/>
    <x v="1"/>
    <x v="0"/>
    <n v="30"/>
    <s v="Yes"/>
    <n v="20"/>
    <n v="5"/>
    <n v="60"/>
  </r>
  <r>
    <n v="3497"/>
    <s v="Carla Rodrigues"/>
    <x v="2"/>
    <d v="2024-11-18T00:00:00"/>
    <x v="1"/>
    <n v="10"/>
    <x v="0"/>
    <x v="1"/>
    <s v="-"/>
    <s v="Yes"/>
    <n v="20"/>
    <n v="10"/>
    <n v="20"/>
  </r>
  <r>
    <n v="3498"/>
    <s v="Diogo Pereira"/>
    <x v="1"/>
    <d v="2024-11-19T00:00:00"/>
    <x v="0"/>
    <n v="5"/>
    <x v="2"/>
    <x v="1"/>
    <s v="-"/>
    <s v="No"/>
    <n v="0"/>
    <n v="0"/>
    <n v="5"/>
  </r>
  <r>
    <n v="3499"/>
    <s v="Elisa Correia"/>
    <x v="0"/>
    <d v="2024-11-20T00:00:00"/>
    <x v="1"/>
    <n v="15"/>
    <x v="0"/>
    <x v="0"/>
    <n v="30"/>
    <s v="Yes"/>
    <n v="20"/>
    <n v="3"/>
    <n v="62"/>
  </r>
  <r>
    <n v="3500"/>
    <s v="Fábio Lourenço"/>
    <x v="2"/>
    <d v="2024-11-21T00:00:00"/>
    <x v="0"/>
    <n v="10"/>
    <x v="1"/>
    <x v="1"/>
    <s v="-"/>
    <s v="Yes"/>
    <n v="20"/>
    <n v="15"/>
    <n v="15"/>
  </r>
  <r>
    <n v="3501"/>
    <s v="Gabriela Neves"/>
    <x v="1"/>
    <d v="2024-11-22T00:00:00"/>
    <x v="1"/>
    <n v="5"/>
    <x v="0"/>
    <x v="1"/>
    <s v="-"/>
    <s v="No"/>
    <n v="0"/>
    <n v="1"/>
    <n v="4"/>
  </r>
  <r>
    <n v="3502"/>
    <s v="Henrique Gonçalves"/>
    <x v="0"/>
    <d v="2024-11-23T00:00:00"/>
    <x v="0"/>
    <n v="15"/>
    <x v="2"/>
    <x v="0"/>
    <n v="30"/>
    <s v="Yes"/>
    <n v="20"/>
    <n v="7"/>
    <n v="58"/>
  </r>
  <r>
    <n v="3503"/>
    <s v="Íris Santos"/>
    <x v="2"/>
    <d v="2024-11-24T00:00:00"/>
    <x v="1"/>
    <n v="10"/>
    <x v="0"/>
    <x v="1"/>
    <s v="-"/>
    <s v="Yes"/>
    <n v="20"/>
    <n v="10"/>
    <n v="20"/>
  </r>
  <r>
    <n v="3504"/>
    <s v="João Marcelo Alves"/>
    <x v="1"/>
    <d v="2024-11-25T00:00:00"/>
    <x v="0"/>
    <n v="5"/>
    <x v="1"/>
    <x v="1"/>
    <s v="-"/>
    <s v="No"/>
    <n v="0"/>
    <n v="0"/>
    <n v="5"/>
  </r>
  <r>
    <n v="3505"/>
    <s v="Klara Fonseca"/>
    <x v="0"/>
    <d v="2024-11-26T00:00:00"/>
    <x v="1"/>
    <n v="15"/>
    <x v="0"/>
    <x v="0"/>
    <n v="30"/>
    <s v="Yes"/>
    <n v="20"/>
    <n v="20"/>
    <n v="45"/>
  </r>
  <r>
    <n v="3506"/>
    <s v="Lucas Mendonça"/>
    <x v="2"/>
    <d v="2024-11-27T00:00:00"/>
    <x v="0"/>
    <n v="10"/>
    <x v="2"/>
    <x v="1"/>
    <s v="-"/>
    <s v="Yes"/>
    <n v="20"/>
    <n v="15"/>
    <n v="15"/>
  </r>
  <r>
    <n v="3507"/>
    <s v="Marcela Torres"/>
    <x v="1"/>
    <d v="2024-11-28T00:00:00"/>
    <x v="1"/>
    <n v="5"/>
    <x v="0"/>
    <x v="1"/>
    <s v="-"/>
    <s v="No"/>
    <n v="0"/>
    <n v="1"/>
    <n v="4"/>
  </r>
  <r>
    <n v="3508"/>
    <s v="Natália Castro"/>
    <x v="0"/>
    <d v="2024-11-29T00:00:00"/>
    <x v="0"/>
    <n v="15"/>
    <x v="1"/>
    <x v="0"/>
    <n v="30"/>
    <s v="Yes"/>
    <n v="20"/>
    <n v="3"/>
    <n v="62"/>
  </r>
  <r>
    <n v="3509"/>
    <s v="Oscar Martins"/>
    <x v="2"/>
    <d v="2024-11-30T00:00:00"/>
    <x v="1"/>
    <n v="10"/>
    <x v="0"/>
    <x v="1"/>
    <s v="-"/>
    <s v="Yes"/>
    <n v="20"/>
    <n v="10"/>
    <n v="20"/>
  </r>
  <r>
    <n v="3510"/>
    <s v="Patrícia Oliveira"/>
    <x v="1"/>
    <d v="2024-12-01T00:00:00"/>
    <x v="0"/>
    <n v="5"/>
    <x v="2"/>
    <x v="1"/>
    <s v="-"/>
    <s v="No"/>
    <n v="0"/>
    <n v="0"/>
    <n v="5"/>
  </r>
  <r>
    <n v="3511"/>
    <s v="Quentin Nogueira"/>
    <x v="0"/>
    <d v="2024-12-02T00:00:00"/>
    <x v="1"/>
    <n v="15"/>
    <x v="0"/>
    <x v="0"/>
    <n v="30"/>
    <s v="Yes"/>
    <n v="20"/>
    <n v="15"/>
    <n v="50"/>
  </r>
  <r>
    <n v="3512"/>
    <s v="Raquel Silva"/>
    <x v="2"/>
    <d v="2024-12-03T00:00:00"/>
    <x v="0"/>
    <n v="10"/>
    <x v="1"/>
    <x v="1"/>
    <s v="-"/>
    <s v="Yes"/>
    <n v="20"/>
    <n v="15"/>
    <n v="15"/>
  </r>
  <r>
    <n v="3513"/>
    <s v="Sandro Gomes"/>
    <x v="1"/>
    <d v="2024-12-04T00:00:00"/>
    <x v="1"/>
    <n v="5"/>
    <x v="0"/>
    <x v="1"/>
    <s v="-"/>
    <s v="No"/>
    <n v="0"/>
    <n v="1"/>
    <n v="4"/>
  </r>
  <r>
    <n v="3514"/>
    <s v="Tânia Machado"/>
    <x v="0"/>
    <d v="2024-12-05T00:00:00"/>
    <x v="0"/>
    <n v="15"/>
    <x v="2"/>
    <x v="0"/>
    <n v="30"/>
    <s v="Yes"/>
    <n v="20"/>
    <n v="7"/>
    <n v="58"/>
  </r>
  <r>
    <n v="3515"/>
    <s v="Ursula Silva"/>
    <x v="2"/>
    <d v="2024-12-06T00:00:00"/>
    <x v="1"/>
    <n v="10"/>
    <x v="0"/>
    <x v="1"/>
    <s v="-"/>
    <s v="Yes"/>
    <n v="20"/>
    <n v="10"/>
    <n v="20"/>
  </r>
  <r>
    <n v="3516"/>
    <s v="Vanessa Moraes"/>
    <x v="1"/>
    <d v="2024-12-07T00:00:00"/>
    <x v="0"/>
    <n v="5"/>
    <x v="1"/>
    <x v="1"/>
    <s v="-"/>
    <s v="No"/>
    <n v="0"/>
    <n v="0"/>
    <n v="5"/>
  </r>
  <r>
    <n v="3517"/>
    <s v="William Carvalho"/>
    <x v="0"/>
    <d v="2024-12-08T00:00:00"/>
    <x v="1"/>
    <n v="15"/>
    <x v="0"/>
    <x v="0"/>
    <n v="30"/>
    <s v="Yes"/>
    <n v="20"/>
    <n v="20"/>
    <n v="45"/>
  </r>
  <r>
    <n v="3518"/>
    <s v="Xavier Reis"/>
    <x v="2"/>
    <d v="2024-12-09T00:00:00"/>
    <x v="0"/>
    <n v="10"/>
    <x v="2"/>
    <x v="1"/>
    <s v="-"/>
    <s v="Yes"/>
    <n v="20"/>
    <n v="12"/>
    <n v="18"/>
  </r>
  <r>
    <n v="3519"/>
    <s v="Yasmin Rocha"/>
    <x v="1"/>
    <d v="2024-12-10T00:00:00"/>
    <x v="1"/>
    <n v="5"/>
    <x v="0"/>
    <x v="1"/>
    <s v="-"/>
    <s v="No"/>
    <n v="0"/>
    <n v="2"/>
    <n v="3"/>
  </r>
  <r>
    <n v="3520"/>
    <s v="Zacarias Duarte"/>
    <x v="0"/>
    <d v="2024-12-11T00:00:00"/>
    <x v="0"/>
    <n v="15"/>
    <x v="1"/>
    <x v="0"/>
    <n v="30"/>
    <s v="Yes"/>
    <n v="20"/>
    <n v="5"/>
    <n v="60"/>
  </r>
  <r>
    <n v="3521"/>
    <s v="Amanda Freitas"/>
    <x v="2"/>
    <d v="2024-12-12T00:00:00"/>
    <x v="1"/>
    <n v="10"/>
    <x v="0"/>
    <x v="1"/>
    <s v="-"/>
    <s v="Yes"/>
    <n v="20"/>
    <n v="10"/>
    <n v="20"/>
  </r>
  <r>
    <n v="3522"/>
    <s v="Bruno Almeida"/>
    <x v="1"/>
    <d v="2024-12-13T00:00:00"/>
    <x v="0"/>
    <n v="5"/>
    <x v="2"/>
    <x v="1"/>
    <s v="-"/>
    <s v="No"/>
    <n v="0"/>
    <n v="0"/>
    <n v="5"/>
  </r>
  <r>
    <n v="3523"/>
    <s v="Carla Siqueira"/>
    <x v="0"/>
    <d v="2024-12-14T00:00:00"/>
    <x v="1"/>
    <n v="15"/>
    <x v="0"/>
    <x v="0"/>
    <n v="30"/>
    <s v="Yes"/>
    <n v="20"/>
    <n v="3"/>
    <n v="62"/>
  </r>
  <r>
    <n v="3524"/>
    <s v="Diogo Ramos"/>
    <x v="2"/>
    <d v="2024-12-15T00:00:00"/>
    <x v="0"/>
    <n v="10"/>
    <x v="1"/>
    <x v="1"/>
    <s v="-"/>
    <s v="Yes"/>
    <n v="20"/>
    <n v="15"/>
    <n v="15"/>
  </r>
  <r>
    <n v="3525"/>
    <s v="Elisa Magalhães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07039-E08F-4E19-9394-EEC6FF37FC3B}" name="tbl_venda_auto_renewal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17" rowHeaderCaption="Auto Renewal">
  <location ref="C35:E38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axis="axisRow" dataField="1" showAll="0">
      <items count="3">
        <item sd="0" x="1"/>
        <item sd="0" x="0"/>
        <item t="default" sd="0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4"/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alues" fld="12" baseField="2" baseItem="0" numFmtId="44"/>
    <dataField name="Count Auto Renewal" fld="4" subtotal="count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6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6" format="20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6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6" format="22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6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6" format="24">
      <pivotArea type="data" outline="0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6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6" format="26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6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6" format="28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6" format="29">
      <pivotArea type="data" outline="0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6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EEAD0-A2A2-49B9-96DF-694C1FDF87F1}" name="Tabela dinâmica9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6" rowHeaderCaption="Plan">
  <location ref="C70:E74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dataField="1"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Minecraft Season Pass Price" fld="10" baseField="2" baseItem="0" numFmtId="44"/>
    <dataField name="Count Minecraft Season Pass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72F63-FB74-4CB5-8D20-C3B4CA28F800}" name="tbl_venda_anual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11" rowHeaderCaption="Plan">
  <location ref="C24:D28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Values" fld="12" baseField="2" baseItem="0" numFmtId="4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E69EA-30E6-4429-9559-D5B21F47F511}" name="tbl_vendas_assin_eaplay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6" rowHeaderCaption="EA Play Season Pass">
  <location ref="C55:E61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axis="axisRow" dataField="1"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2">
    <field x="7"/>
    <field x="2"/>
  </rowFields>
  <rowItems count="6">
    <i>
      <x/>
    </i>
    <i r="1">
      <x/>
    </i>
    <i r="1">
      <x v="1"/>
    </i>
    <i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EA Play Season Pass" fld="8" baseField="7" baseItem="0"/>
    <dataField name="Count EA Play Season Pass" fld="7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AD2AE-8B8F-4BA5-9D19-631ED99D64DF}" name="Tabela dinâmica13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13" rowHeaderCaption="Plan">
  <location ref="C107:F111" firstHeaderRow="0" firstDataRow="1" firstDataCol="1"/>
  <pivotFields count="13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Values" fld="12" baseField="2" baseItem="0" numFmtId="44"/>
    <dataField name="Média Total Value" fld="12" subtotal="average" baseField="2" baseItem="0" numFmtId="44"/>
    <dataField name="Count Plan" fld="2" subtotal="count" baseField="2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5535B-88BD-41B7-B3E7-2F8BE2CA412C}" name="Tabela dinâmica11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6" rowHeaderCaption="Plan">
  <location ref="C88:E92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dataField="1" showAll="0"/>
    <pivotField showAll="0"/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upon Value" fld="11" baseField="0" baseItem="0" numFmtId="44"/>
    <dataField name="Contagem de EA Play Season Pas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8AD86-B84D-4D3E-BE27-5B588B01AA2B}" name="Tabela dinâmica10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6" rowHeaderCaption="Plan">
  <location ref="C80:E84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dataField="1"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pon Values" fld="11" baseField="2" baseItem="0" numFmtId="44"/>
    <dataField name="Count Minecraft Season Pass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A918D-E190-49F2-B235-1CC9434C12BA}" name="Tabela dinâmica12" cacheId="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chartFormat="6" rowHeaderCaption="Plan">
  <location ref="C97:E101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dataField="1" showAll="0"/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upon Value" fld="11" baseField="0" baseItem="0" numFmtId="44"/>
    <dataField name="Contagem de Auto Renewa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A1FB49A-C173-42D2-93FB-1373D73073C5}" sourceName="Subscription Type">
  <pivotTables>
    <pivotTable tabId="3" name="tbl_venda_anual"/>
    <pivotTable tabId="3" name="tbl_venda_auto_renewal"/>
    <pivotTable tabId="3" name="tbl_vendas_assin_eaplay"/>
    <pivotTable tabId="3" name="Tabela dinâmica9"/>
    <pivotTable tabId="3" name="Tabela dinâmica10"/>
    <pivotTable tabId="3" name="Tabela dinâmica11"/>
    <pivotTable tabId="3" name="Tabela dinâmica12"/>
    <pivotTable tabId="3" name="Tabela dinâmica13"/>
  </pivotTables>
  <data>
    <tabular pivotCacheId="134443417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3357311-31D2-4070-976B-9B0F009D7642}" cache="SegmentaçãodeDados_Subscription_Type" caption="Subscription Type" style="Verd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6470F-F539-4302-80DB-0AEEA6517EEA}" name="Base" displayName="Base" ref="J13:V308" totalsRowShown="0" headerRowDxfId="15" dataDxfId="14" tableBorderDxfId="13" dataCellStyle="Moeda">
  <autoFilter ref="J13:V308" xr:uid="{A346470F-F539-4302-80DB-0AEEA6517EEA}">
    <filterColumn colId="2">
      <filters>
        <filter val="Ultimate"/>
      </filters>
    </filterColumn>
    <filterColumn colId="6">
      <filters>
        <filter val="Monthly"/>
      </filters>
    </filterColumn>
  </autoFilter>
  <tableColumns count="13">
    <tableColumn id="1" xr3:uid="{B51F0A2C-C34C-48A8-A9D8-A572EE831007}" name="Subscriber ID" dataDxfId="12"/>
    <tableColumn id="2" xr3:uid="{8E4D6D5D-5557-4153-A180-2BD293615315}" name="Name" dataDxfId="11"/>
    <tableColumn id="3" xr3:uid="{D94A355D-933A-4941-87E3-BE1FE4BE66A3}" name="Plan" dataDxfId="10"/>
    <tableColumn id="4" xr3:uid="{2A18EB9E-5BA4-4B3E-A79A-3A944160C450}" name="Start Date" dataDxfId="9"/>
    <tableColumn id="5" xr3:uid="{DE160C56-A799-4ADA-9853-6A1F806C38C5}" name="Auto Renewal" dataDxfId="8"/>
    <tableColumn id="6" xr3:uid="{CBD5293F-AA73-4211-BADB-033223189A93}" name="Subscription Price" dataDxfId="7" dataCellStyle="Moeda"/>
    <tableColumn id="7" xr3:uid="{8F15CE90-D370-442E-B197-9FB6BEBB2477}" name="Subscription Type" dataDxfId="6"/>
    <tableColumn id="8" xr3:uid="{19CF0B34-1235-4C4B-B58F-4700D43262CC}" name="EA Play Season Pass" dataDxfId="5"/>
    <tableColumn id="9" xr3:uid="{4092D082-66BA-445B-9665-CC6195A7FCBE}" name="EA Play Season Pass_x000a_Price" dataDxfId="4" dataCellStyle="Moeda"/>
    <tableColumn id="10" xr3:uid="{82E5B0E0-513D-4739-958B-D3D1FD8E14C4}" name="Minecraft Season Pass" dataDxfId="3"/>
    <tableColumn id="11" xr3:uid="{367E9C1B-8DAF-403F-BF84-A3913C60914D}" name="Minecraft Season Pass Price" dataDxfId="2" dataCellStyle="Moeda"/>
    <tableColumn id="12" xr3:uid="{B64832EC-EC9A-4EE6-B458-10C12EDC9700}" name="Coupon Value" dataDxfId="1" dataCellStyle="Moeda"/>
    <tableColumn id="13" xr3:uid="{4970090B-3CAB-400E-A6A1-9478A3AC8F89}" name="Total Value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5330-F45E-4F9B-92BE-56388F60069F}">
  <dimension ref="B2:R40"/>
  <sheetViews>
    <sheetView zoomScale="70" zoomScaleNormal="70" workbookViewId="0">
      <selection activeCell="F40" sqref="F40"/>
    </sheetView>
  </sheetViews>
  <sheetFormatPr defaultRowHeight="15" x14ac:dyDescent="0.25"/>
  <cols>
    <col min="2" max="2" width="15.5703125" customWidth="1"/>
    <col min="3" max="4" width="12.42578125" customWidth="1"/>
    <col min="5" max="5" width="11.85546875" customWidth="1"/>
    <col min="6" max="6" width="19.7109375" bestFit="1" customWidth="1"/>
    <col min="8" max="11" width="12.42578125" customWidth="1"/>
    <col min="12" max="12" width="9.28515625" customWidth="1"/>
    <col min="15" max="18" width="12.42578125" customWidth="1"/>
  </cols>
  <sheetData>
    <row r="2" spans="2:9" ht="18.75" x14ac:dyDescent="0.3">
      <c r="B2" s="3" t="s">
        <v>11</v>
      </c>
      <c r="C2" s="3" t="s">
        <v>12</v>
      </c>
    </row>
    <row r="4" spans="2:9" x14ac:dyDescent="0.25">
      <c r="B4" s="2" t="s">
        <v>0</v>
      </c>
    </row>
    <row r="5" spans="2:9" s="1" customFormat="1" ht="17.25" customHeight="1" x14ac:dyDescent="0.25">
      <c r="C5" s="35" t="s">
        <v>1</v>
      </c>
      <c r="D5" s="35"/>
      <c r="E5" s="35"/>
      <c r="F5" s="35"/>
      <c r="G5" s="35"/>
      <c r="H5" s="35"/>
      <c r="I5" s="35"/>
    </row>
    <row r="6" spans="2:9" s="1" customFormat="1" ht="17.25" customHeight="1" x14ac:dyDescent="0.25">
      <c r="C6" s="35" t="s">
        <v>2</v>
      </c>
      <c r="D6" s="35"/>
      <c r="E6" s="35"/>
      <c r="F6" s="35"/>
      <c r="G6" s="35"/>
      <c r="H6" s="35"/>
      <c r="I6" s="35"/>
    </row>
    <row r="7" spans="2:9" s="1" customFormat="1" ht="17.25" customHeight="1" x14ac:dyDescent="0.25">
      <c r="C7" s="35" t="s">
        <v>3</v>
      </c>
      <c r="D7" s="35"/>
      <c r="E7" s="35"/>
      <c r="F7" s="35"/>
      <c r="G7" s="35"/>
      <c r="H7" s="35"/>
      <c r="I7" s="35"/>
    </row>
    <row r="8" spans="2:9" x14ac:dyDescent="0.25">
      <c r="C8" s="1"/>
      <c r="D8" s="1"/>
      <c r="E8" s="1"/>
      <c r="F8" s="1"/>
      <c r="G8" s="1"/>
      <c r="H8" s="1"/>
      <c r="I8" s="1"/>
    </row>
    <row r="9" spans="2:9" x14ac:dyDescent="0.25">
      <c r="B9" s="2" t="s">
        <v>4</v>
      </c>
      <c r="C9" s="1"/>
      <c r="D9" s="1"/>
      <c r="E9" s="1"/>
      <c r="F9" s="1"/>
      <c r="G9" s="1"/>
      <c r="H9" s="1"/>
      <c r="I9" s="1"/>
    </row>
    <row r="10" spans="2:9" s="1" customFormat="1" ht="17.25" customHeight="1" x14ac:dyDescent="0.25">
      <c r="C10" s="35" t="s">
        <v>5</v>
      </c>
      <c r="D10" s="35"/>
      <c r="E10" s="35"/>
      <c r="F10" s="35"/>
      <c r="G10" s="35"/>
      <c r="H10" s="35"/>
      <c r="I10" s="35"/>
    </row>
    <row r="11" spans="2:9" s="1" customFormat="1" ht="17.25" customHeight="1" x14ac:dyDescent="0.25">
      <c r="C11" s="35" t="s">
        <v>6</v>
      </c>
      <c r="D11" s="35"/>
      <c r="E11" s="35"/>
      <c r="F11" s="35"/>
      <c r="G11" s="35"/>
      <c r="H11" s="35"/>
      <c r="I11" s="35"/>
    </row>
    <row r="12" spans="2:9" s="1" customFormat="1" ht="17.25" customHeight="1" x14ac:dyDescent="0.25">
      <c r="C12" s="35" t="s">
        <v>7</v>
      </c>
      <c r="D12" s="35"/>
      <c r="E12" s="35"/>
      <c r="F12" s="35"/>
      <c r="G12" s="35"/>
      <c r="H12" s="35"/>
      <c r="I12" s="35"/>
    </row>
    <row r="13" spans="2:9" s="1" customFormat="1" ht="17.25" customHeight="1" x14ac:dyDescent="0.25">
      <c r="C13" s="35" t="s">
        <v>8</v>
      </c>
      <c r="D13" s="35"/>
      <c r="E13" s="35"/>
      <c r="F13" s="35"/>
      <c r="G13" s="35"/>
      <c r="H13" s="35"/>
      <c r="I13" s="35"/>
    </row>
    <row r="14" spans="2:9" s="1" customFormat="1" ht="17.25" customHeight="1" x14ac:dyDescent="0.25">
      <c r="C14" s="35" t="s">
        <v>9</v>
      </c>
      <c r="D14" s="35"/>
      <c r="E14" s="35"/>
      <c r="F14" s="35"/>
      <c r="G14" s="35"/>
      <c r="H14" s="35"/>
      <c r="I14" s="35"/>
    </row>
    <row r="15" spans="2:9" s="1" customFormat="1" ht="17.25" customHeight="1" x14ac:dyDescent="0.25">
      <c r="C15" s="35" t="s">
        <v>10</v>
      </c>
      <c r="D15" s="35"/>
      <c r="E15" s="35"/>
      <c r="F15" s="35"/>
      <c r="G15" s="35"/>
      <c r="H15" s="35"/>
      <c r="I15" s="35"/>
    </row>
    <row r="16" spans="2:9" x14ac:dyDescent="0.25">
      <c r="C16" s="1"/>
      <c r="D16" s="1"/>
      <c r="E16" s="1"/>
      <c r="F16" s="1"/>
      <c r="G16" s="1"/>
      <c r="H16" s="1"/>
      <c r="I16" s="1"/>
    </row>
    <row r="17" spans="2:18" x14ac:dyDescent="0.25">
      <c r="B17" s="2" t="s">
        <v>16</v>
      </c>
      <c r="C17" s="1"/>
      <c r="D17" s="1"/>
      <c r="E17" s="1"/>
      <c r="F17" s="1"/>
      <c r="G17" s="1"/>
      <c r="H17" s="1"/>
      <c r="I17" s="1"/>
    </row>
    <row r="18" spans="2:18" s="1" customFormat="1" ht="17.25" customHeight="1" x14ac:dyDescent="0.25">
      <c r="C18" s="35" t="s">
        <v>13</v>
      </c>
      <c r="D18" s="35"/>
      <c r="E18" s="35"/>
      <c r="F18" s="35"/>
      <c r="G18" s="35"/>
      <c r="H18" s="35"/>
      <c r="I18" s="35"/>
    </row>
    <row r="19" spans="2:18" s="1" customFormat="1" ht="17.25" customHeight="1" x14ac:dyDescent="0.25">
      <c r="C19" s="35" t="s">
        <v>14</v>
      </c>
      <c r="D19" s="35"/>
      <c r="E19" s="35"/>
      <c r="F19" s="35"/>
      <c r="G19" s="35"/>
      <c r="H19" s="35"/>
      <c r="I19" s="35"/>
    </row>
    <row r="20" spans="2:18" s="1" customFormat="1" ht="17.25" customHeight="1" x14ac:dyDescent="0.25">
      <c r="C20" s="35" t="s">
        <v>15</v>
      </c>
      <c r="D20" s="35"/>
      <c r="E20" s="35"/>
      <c r="F20" s="35"/>
      <c r="G20" s="35"/>
      <c r="H20" s="35"/>
      <c r="I20" s="35"/>
    </row>
    <row r="23" spans="2:18" ht="23.25" customHeight="1" x14ac:dyDescent="0.25">
      <c r="B23" s="7" t="s">
        <v>24</v>
      </c>
      <c r="C23" s="8"/>
      <c r="D23" s="8"/>
      <c r="H23" s="7" t="s">
        <v>28</v>
      </c>
      <c r="I23" s="8"/>
      <c r="J23" s="8"/>
      <c r="K23" s="8"/>
      <c r="O23" s="7" t="s">
        <v>31</v>
      </c>
      <c r="P23" s="8"/>
      <c r="Q23" s="8"/>
      <c r="R23" s="8"/>
    </row>
    <row r="25" spans="2:18" x14ac:dyDescent="0.25">
      <c r="B25" s="4" t="s">
        <v>41</v>
      </c>
      <c r="D25" t="s">
        <v>25</v>
      </c>
      <c r="E25" s="6">
        <v>46064</v>
      </c>
      <c r="H25" t="s">
        <v>29</v>
      </c>
      <c r="K25" t="s">
        <v>30</v>
      </c>
      <c r="O25" t="s">
        <v>32</v>
      </c>
      <c r="R25" t="s">
        <v>33</v>
      </c>
    </row>
    <row r="26" spans="2:18" x14ac:dyDescent="0.25">
      <c r="B26" s="15" t="s">
        <v>42</v>
      </c>
      <c r="D26" t="s">
        <v>26</v>
      </c>
      <c r="E26" s="6">
        <v>46064</v>
      </c>
      <c r="H26" s="6">
        <v>46064</v>
      </c>
      <c r="K26" s="6">
        <v>46064</v>
      </c>
      <c r="O26" s="6">
        <v>46064</v>
      </c>
      <c r="R26" s="6">
        <v>46064</v>
      </c>
    </row>
    <row r="27" spans="2:18" x14ac:dyDescent="0.25">
      <c r="B27" s="5" t="s">
        <v>43</v>
      </c>
      <c r="D27" t="s">
        <v>27</v>
      </c>
      <c r="E27" s="6">
        <v>46064</v>
      </c>
    </row>
    <row r="28" spans="2:18" x14ac:dyDescent="0.25">
      <c r="B28" s="11" t="s">
        <v>34</v>
      </c>
      <c r="C28" s="11" t="s">
        <v>34</v>
      </c>
      <c r="D28" t="s">
        <v>38</v>
      </c>
      <c r="E28" s="6">
        <v>46064</v>
      </c>
    </row>
    <row r="29" spans="2:18" x14ac:dyDescent="0.25">
      <c r="B29" s="12" t="s">
        <v>35</v>
      </c>
      <c r="C29" s="12" t="s">
        <v>35</v>
      </c>
      <c r="D29" t="s">
        <v>37</v>
      </c>
      <c r="E29" s="6">
        <v>46064</v>
      </c>
    </row>
    <row r="30" spans="2:18" x14ac:dyDescent="0.25">
      <c r="B30" s="13" t="s">
        <v>36</v>
      </c>
      <c r="C30" s="13" t="s">
        <v>36</v>
      </c>
      <c r="D30" t="s">
        <v>39</v>
      </c>
      <c r="E30" s="6">
        <v>46064</v>
      </c>
    </row>
    <row r="31" spans="2:18" x14ac:dyDescent="0.25">
      <c r="B31" s="14" t="s">
        <v>40</v>
      </c>
      <c r="C31" s="14" t="s">
        <v>40</v>
      </c>
      <c r="D31" t="s">
        <v>39</v>
      </c>
      <c r="E31" s="6">
        <v>46064</v>
      </c>
    </row>
    <row r="32" spans="2:18" x14ac:dyDescent="0.25">
      <c r="B32" s="27" t="s">
        <v>356</v>
      </c>
      <c r="C32" s="27" t="s">
        <v>356</v>
      </c>
      <c r="D32" t="s">
        <v>39</v>
      </c>
    </row>
    <row r="33" spans="2:6" x14ac:dyDescent="0.25">
      <c r="B33" s="29" t="s">
        <v>375</v>
      </c>
      <c r="C33" s="29" t="s">
        <v>375</v>
      </c>
      <c r="D33" t="s">
        <v>38</v>
      </c>
    </row>
    <row r="34" spans="2:6" x14ac:dyDescent="0.25">
      <c r="B34" t="s">
        <v>376</v>
      </c>
    </row>
    <row r="36" spans="2:6" ht="18.75" x14ac:dyDescent="0.25">
      <c r="B36" s="7" t="s">
        <v>161</v>
      </c>
      <c r="C36" s="8"/>
      <c r="D36" s="8"/>
    </row>
    <row r="38" spans="2:6" ht="20.25" x14ac:dyDescent="0.3">
      <c r="B38" s="19" t="s">
        <v>38</v>
      </c>
      <c r="C38" s="19">
        <v>16</v>
      </c>
      <c r="E38" s="6">
        <v>46064</v>
      </c>
      <c r="F38" t="s">
        <v>378</v>
      </c>
    </row>
    <row r="39" spans="2:6" ht="19.5" x14ac:dyDescent="0.35">
      <c r="B39" s="20" t="s">
        <v>162</v>
      </c>
      <c r="C39" s="20">
        <v>14</v>
      </c>
      <c r="E39" s="6">
        <v>46064</v>
      </c>
      <c r="F39" t="s">
        <v>377</v>
      </c>
    </row>
    <row r="40" spans="2:6" ht="15.75" x14ac:dyDescent="0.25">
      <c r="B40" s="21" t="s">
        <v>163</v>
      </c>
      <c r="C40" s="21">
        <v>12</v>
      </c>
      <c r="E40" s="6">
        <v>46064</v>
      </c>
      <c r="F40" t="s">
        <v>379</v>
      </c>
    </row>
  </sheetData>
  <mergeCells count="12">
    <mergeCell ref="C5:I5"/>
    <mergeCell ref="C6:I6"/>
    <mergeCell ref="C7:I7"/>
    <mergeCell ref="C20:I20"/>
    <mergeCell ref="C19:I19"/>
    <mergeCell ref="C18:I18"/>
    <mergeCell ref="C10:I10"/>
    <mergeCell ref="C11:I11"/>
    <mergeCell ref="C12:I12"/>
    <mergeCell ref="C13:I13"/>
    <mergeCell ref="C14:I14"/>
    <mergeCell ref="C15:I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2A09-F31E-445C-9B5E-E230E2E77A40}">
  <dimension ref="B2:V308"/>
  <sheetViews>
    <sheetView zoomScale="70" zoomScaleNormal="70" workbookViewId="0">
      <selection activeCell="G123" sqref="G123"/>
    </sheetView>
  </sheetViews>
  <sheetFormatPr defaultRowHeight="15" x14ac:dyDescent="0.25"/>
  <cols>
    <col min="2" max="2" width="14.140625" bestFit="1" customWidth="1"/>
    <col min="3" max="3" width="6.5703125" customWidth="1"/>
    <col min="10" max="10" width="16" customWidth="1"/>
    <col min="11" max="11" width="20.42578125" customWidth="1"/>
    <col min="12" max="12" width="9.42578125" bestFit="1" customWidth="1"/>
    <col min="13" max="13" width="12.85546875" customWidth="1"/>
    <col min="14" max="14" width="16.42578125" customWidth="1"/>
    <col min="15" max="15" width="20.42578125" customWidth="1"/>
    <col min="16" max="16" width="19.85546875" customWidth="1"/>
    <col min="17" max="17" width="23.28515625" customWidth="1"/>
    <col min="18" max="18" width="12" bestFit="1" customWidth="1"/>
    <col min="19" max="19" width="25" customWidth="1"/>
    <col min="20" max="20" width="30.42578125" customWidth="1"/>
    <col min="21" max="21" width="16" customWidth="1"/>
    <col min="22" max="22" width="13.5703125" customWidth="1"/>
  </cols>
  <sheetData>
    <row r="2" spans="2:22" ht="18.75" x14ac:dyDescent="0.3">
      <c r="B2" s="3" t="s">
        <v>11</v>
      </c>
      <c r="C2" s="3" t="s">
        <v>17</v>
      </c>
    </row>
    <row r="4" spans="2:22" x14ac:dyDescent="0.25">
      <c r="B4" s="2" t="s">
        <v>0</v>
      </c>
    </row>
    <row r="5" spans="2:22" x14ac:dyDescent="0.25">
      <c r="B5" s="1"/>
      <c r="C5" s="35" t="s">
        <v>18</v>
      </c>
      <c r="D5" s="35"/>
      <c r="E5" s="35"/>
      <c r="F5" s="35"/>
      <c r="G5" s="35"/>
      <c r="H5" s="35"/>
      <c r="I5" s="35"/>
    </row>
    <row r="6" spans="2:22" x14ac:dyDescent="0.25">
      <c r="B6" s="1"/>
      <c r="C6" s="35" t="s">
        <v>19</v>
      </c>
      <c r="D6" s="35"/>
      <c r="E6" s="35"/>
      <c r="F6" s="35"/>
      <c r="G6" s="35"/>
      <c r="H6" s="35"/>
      <c r="I6" s="35"/>
    </row>
    <row r="7" spans="2:22" x14ac:dyDescent="0.25">
      <c r="B7" s="1"/>
      <c r="C7" s="35"/>
      <c r="D7" s="35"/>
      <c r="E7" s="35"/>
      <c r="F7" s="35"/>
      <c r="G7" s="35"/>
      <c r="H7" s="35"/>
      <c r="I7" s="35"/>
    </row>
    <row r="9" spans="2:22" x14ac:dyDescent="0.25">
      <c r="B9" s="2" t="s">
        <v>16</v>
      </c>
      <c r="C9" s="1"/>
      <c r="D9" s="1"/>
      <c r="E9" s="1"/>
      <c r="F9" s="1"/>
      <c r="G9" s="1"/>
      <c r="H9" s="1"/>
      <c r="I9" s="1"/>
    </row>
    <row r="10" spans="2:22" x14ac:dyDescent="0.25">
      <c r="B10" s="1"/>
      <c r="C10" s="35" t="s">
        <v>22</v>
      </c>
      <c r="D10" s="35"/>
      <c r="E10" s="35"/>
      <c r="F10" s="35"/>
      <c r="G10" s="35"/>
      <c r="H10" s="35"/>
      <c r="I10" s="35"/>
    </row>
    <row r="11" spans="2:22" x14ac:dyDescent="0.25">
      <c r="B11" s="1"/>
      <c r="C11" s="35" t="s">
        <v>14</v>
      </c>
      <c r="D11" s="35"/>
      <c r="E11" s="35"/>
      <c r="F11" s="35"/>
      <c r="G11" s="35"/>
      <c r="H11" s="35"/>
      <c r="I11" s="35"/>
    </row>
    <row r="12" spans="2:22" x14ac:dyDescent="0.25">
      <c r="B12" s="1"/>
      <c r="C12" s="35" t="s">
        <v>15</v>
      </c>
      <c r="D12" s="35"/>
      <c r="E12" s="35"/>
      <c r="F12" s="35"/>
      <c r="G12" s="35"/>
      <c r="H12" s="35"/>
      <c r="I12" s="35"/>
    </row>
    <row r="13" spans="2:22" ht="66.75" customHeight="1" x14ac:dyDescent="0.25">
      <c r="J13" s="26" t="s">
        <v>145</v>
      </c>
      <c r="K13" s="26" t="s">
        <v>146</v>
      </c>
      <c r="L13" s="26" t="s">
        <v>147</v>
      </c>
      <c r="M13" s="26" t="s">
        <v>148</v>
      </c>
      <c r="N13" s="26" t="s">
        <v>149</v>
      </c>
      <c r="O13" s="26" t="s">
        <v>150</v>
      </c>
      <c r="P13" s="26" t="s">
        <v>151</v>
      </c>
      <c r="Q13" s="26" t="s">
        <v>152</v>
      </c>
      <c r="R13" s="26" t="s">
        <v>153</v>
      </c>
      <c r="S13" s="26" t="s">
        <v>154</v>
      </c>
      <c r="T13" s="26" t="s">
        <v>155</v>
      </c>
      <c r="U13" s="26" t="s">
        <v>156</v>
      </c>
      <c r="V13" s="26" t="s">
        <v>157</v>
      </c>
    </row>
    <row r="14" spans="2:22" ht="18" customHeight="1" x14ac:dyDescent="0.25">
      <c r="J14" s="16">
        <v>3231</v>
      </c>
      <c r="K14" s="16" t="s">
        <v>44</v>
      </c>
      <c r="L14" s="16" t="s">
        <v>45</v>
      </c>
      <c r="M14" s="17">
        <v>45292</v>
      </c>
      <c r="N14" s="16" t="s">
        <v>46</v>
      </c>
      <c r="O14" s="18">
        <v>15</v>
      </c>
      <c r="P14" s="16" t="s">
        <v>47</v>
      </c>
      <c r="Q14" s="16" t="s">
        <v>46</v>
      </c>
      <c r="R14" s="18">
        <v>30</v>
      </c>
      <c r="S14" s="16" t="s">
        <v>46</v>
      </c>
      <c r="T14" s="18">
        <v>20</v>
      </c>
      <c r="U14" s="18">
        <v>5</v>
      </c>
      <c r="V14" s="18">
        <v>60</v>
      </c>
    </row>
    <row r="15" spans="2:22" ht="18" hidden="1" customHeight="1" x14ac:dyDescent="0.25">
      <c r="J15" s="16">
        <v>3232</v>
      </c>
      <c r="K15" s="16" t="s">
        <v>165</v>
      </c>
      <c r="L15" s="16" t="s">
        <v>166</v>
      </c>
      <c r="M15" s="17">
        <v>45306</v>
      </c>
      <c r="N15" s="16" t="s">
        <v>49</v>
      </c>
      <c r="O15" s="18">
        <v>5</v>
      </c>
      <c r="P15" s="16" t="s">
        <v>54</v>
      </c>
      <c r="Q15" s="16" t="s">
        <v>49</v>
      </c>
      <c r="R15" s="18" t="s">
        <v>167</v>
      </c>
      <c r="S15" s="16" t="s">
        <v>49</v>
      </c>
      <c r="T15" s="18">
        <v>0</v>
      </c>
      <c r="U15" s="18">
        <v>0</v>
      </c>
      <c r="V15" s="18">
        <v>5</v>
      </c>
    </row>
    <row r="16" spans="2:22" ht="18" hidden="1" customHeight="1" x14ac:dyDescent="0.25">
      <c r="J16" s="16">
        <v>3233</v>
      </c>
      <c r="K16" s="16" t="s">
        <v>168</v>
      </c>
      <c r="L16" s="16" t="s">
        <v>169</v>
      </c>
      <c r="M16" s="17">
        <v>45332</v>
      </c>
      <c r="N16" s="16" t="s">
        <v>46</v>
      </c>
      <c r="O16" s="18">
        <v>10</v>
      </c>
      <c r="P16" s="16" t="s">
        <v>51</v>
      </c>
      <c r="Q16" s="16" t="s">
        <v>49</v>
      </c>
      <c r="R16" s="18" t="s">
        <v>167</v>
      </c>
      <c r="S16" s="16" t="s">
        <v>46</v>
      </c>
      <c r="T16" s="18">
        <v>20</v>
      </c>
      <c r="U16" s="18">
        <v>10</v>
      </c>
      <c r="V16" s="18">
        <v>20</v>
      </c>
    </row>
    <row r="17" spans="10:22" ht="18" customHeight="1" x14ac:dyDescent="0.25">
      <c r="J17" s="16">
        <v>3234</v>
      </c>
      <c r="K17" s="16" t="s">
        <v>48</v>
      </c>
      <c r="L17" s="16" t="s">
        <v>45</v>
      </c>
      <c r="M17" s="17">
        <v>45342</v>
      </c>
      <c r="N17" s="16" t="s">
        <v>49</v>
      </c>
      <c r="O17" s="18">
        <v>15</v>
      </c>
      <c r="P17" s="16" t="s">
        <v>47</v>
      </c>
      <c r="Q17" s="16" t="s">
        <v>46</v>
      </c>
      <c r="R17" s="18">
        <v>30</v>
      </c>
      <c r="S17" s="16" t="s">
        <v>46</v>
      </c>
      <c r="T17" s="18">
        <v>20</v>
      </c>
      <c r="U17" s="18">
        <v>3</v>
      </c>
      <c r="V17" s="18">
        <v>62</v>
      </c>
    </row>
    <row r="18" spans="10:22" ht="18" hidden="1" customHeight="1" x14ac:dyDescent="0.25">
      <c r="J18" s="16">
        <v>3235</v>
      </c>
      <c r="K18" s="16" t="s">
        <v>170</v>
      </c>
      <c r="L18" s="16" t="s">
        <v>166</v>
      </c>
      <c r="M18" s="17">
        <v>45356</v>
      </c>
      <c r="N18" s="16" t="s">
        <v>46</v>
      </c>
      <c r="O18" s="18">
        <v>5</v>
      </c>
      <c r="P18" s="16" t="s">
        <v>47</v>
      </c>
      <c r="Q18" s="16" t="s">
        <v>49</v>
      </c>
      <c r="R18" s="18" t="s">
        <v>167</v>
      </c>
      <c r="S18" s="16" t="s">
        <v>49</v>
      </c>
      <c r="T18" s="18">
        <v>0</v>
      </c>
      <c r="U18" s="18">
        <v>1</v>
      </c>
      <c r="V18" s="18">
        <v>4</v>
      </c>
    </row>
    <row r="19" spans="10:22" ht="18" hidden="1" customHeight="1" x14ac:dyDescent="0.25">
      <c r="J19" s="16">
        <v>3236</v>
      </c>
      <c r="K19" s="16" t="s">
        <v>171</v>
      </c>
      <c r="L19" s="16" t="s">
        <v>169</v>
      </c>
      <c r="M19" s="17">
        <v>45353</v>
      </c>
      <c r="N19" s="16" t="s">
        <v>49</v>
      </c>
      <c r="O19" s="18">
        <v>10</v>
      </c>
      <c r="P19" s="16" t="s">
        <v>47</v>
      </c>
      <c r="Q19" s="16" t="s">
        <v>49</v>
      </c>
      <c r="R19" s="18" t="s">
        <v>167</v>
      </c>
      <c r="S19" s="16" t="s">
        <v>46</v>
      </c>
      <c r="T19" s="18">
        <v>20</v>
      </c>
      <c r="U19" s="18">
        <v>2</v>
      </c>
      <c r="V19" s="18">
        <v>28</v>
      </c>
    </row>
    <row r="20" spans="10:22" ht="18" hidden="1" customHeight="1" x14ac:dyDescent="0.25">
      <c r="J20" s="16">
        <v>3237</v>
      </c>
      <c r="K20" s="16" t="s">
        <v>50</v>
      </c>
      <c r="L20" s="16" t="s">
        <v>45</v>
      </c>
      <c r="M20" s="17">
        <v>45354</v>
      </c>
      <c r="N20" s="16" t="s">
        <v>46</v>
      </c>
      <c r="O20" s="18">
        <v>15</v>
      </c>
      <c r="P20" s="16" t="s">
        <v>51</v>
      </c>
      <c r="Q20" s="16" t="s">
        <v>46</v>
      </c>
      <c r="R20" s="18">
        <v>30</v>
      </c>
      <c r="S20" s="16" t="s">
        <v>46</v>
      </c>
      <c r="T20" s="18">
        <v>20</v>
      </c>
      <c r="U20" s="18">
        <v>10</v>
      </c>
      <c r="V20" s="18">
        <v>55</v>
      </c>
    </row>
    <row r="21" spans="10:22" ht="18" hidden="1" customHeight="1" x14ac:dyDescent="0.25">
      <c r="J21" s="16">
        <v>3238</v>
      </c>
      <c r="K21" s="16" t="s">
        <v>172</v>
      </c>
      <c r="L21" s="16" t="s">
        <v>166</v>
      </c>
      <c r="M21" s="17">
        <v>45355</v>
      </c>
      <c r="N21" s="16" t="s">
        <v>46</v>
      </c>
      <c r="O21" s="18">
        <v>5</v>
      </c>
      <c r="P21" s="16" t="s">
        <v>54</v>
      </c>
      <c r="Q21" s="16" t="s">
        <v>49</v>
      </c>
      <c r="R21" s="18" t="s">
        <v>167</v>
      </c>
      <c r="S21" s="16" t="s">
        <v>49</v>
      </c>
      <c r="T21" s="18">
        <v>0</v>
      </c>
      <c r="U21" s="18">
        <v>0</v>
      </c>
      <c r="V21" s="18">
        <v>5</v>
      </c>
    </row>
    <row r="22" spans="10:22" ht="18" customHeight="1" x14ac:dyDescent="0.25">
      <c r="J22" s="16">
        <v>3239</v>
      </c>
      <c r="K22" s="16" t="s">
        <v>52</v>
      </c>
      <c r="L22" s="16" t="s">
        <v>45</v>
      </c>
      <c r="M22" s="17">
        <v>45356</v>
      </c>
      <c r="N22" s="16" t="s">
        <v>49</v>
      </c>
      <c r="O22" s="18">
        <v>15</v>
      </c>
      <c r="P22" s="16" t="s">
        <v>47</v>
      </c>
      <c r="Q22" s="16" t="s">
        <v>46</v>
      </c>
      <c r="R22" s="18">
        <v>30</v>
      </c>
      <c r="S22" s="16" t="s">
        <v>46</v>
      </c>
      <c r="T22" s="18">
        <v>20</v>
      </c>
      <c r="U22" s="18">
        <v>5</v>
      </c>
      <c r="V22" s="18">
        <v>60</v>
      </c>
    </row>
    <row r="23" spans="10:22" ht="18" hidden="1" customHeight="1" x14ac:dyDescent="0.25">
      <c r="J23" s="16">
        <v>3240</v>
      </c>
      <c r="K23" s="16" t="s">
        <v>173</v>
      </c>
      <c r="L23" s="16" t="s">
        <v>169</v>
      </c>
      <c r="M23" s="17">
        <v>45357</v>
      </c>
      <c r="N23" s="16" t="s">
        <v>46</v>
      </c>
      <c r="O23" s="18">
        <v>10</v>
      </c>
      <c r="P23" s="16" t="s">
        <v>51</v>
      </c>
      <c r="Q23" s="16" t="s">
        <v>49</v>
      </c>
      <c r="R23" s="18" t="s">
        <v>167</v>
      </c>
      <c r="S23" s="16" t="s">
        <v>46</v>
      </c>
      <c r="T23" s="18">
        <v>20</v>
      </c>
      <c r="U23" s="18">
        <v>15</v>
      </c>
      <c r="V23" s="18">
        <v>15</v>
      </c>
    </row>
    <row r="24" spans="10:22" ht="18" hidden="1" customHeight="1" x14ac:dyDescent="0.25">
      <c r="J24" s="16">
        <v>3241</v>
      </c>
      <c r="K24" s="16" t="s">
        <v>174</v>
      </c>
      <c r="L24" s="16" t="s">
        <v>166</v>
      </c>
      <c r="M24" s="17">
        <v>45358</v>
      </c>
      <c r="N24" s="16" t="s">
        <v>49</v>
      </c>
      <c r="O24" s="18">
        <v>5</v>
      </c>
      <c r="P24" s="16" t="s">
        <v>47</v>
      </c>
      <c r="Q24" s="16" t="s">
        <v>49</v>
      </c>
      <c r="R24" s="18" t="s">
        <v>167</v>
      </c>
      <c r="S24" s="16" t="s">
        <v>49</v>
      </c>
      <c r="T24" s="18">
        <v>0</v>
      </c>
      <c r="U24" s="18">
        <v>1</v>
      </c>
      <c r="V24" s="18">
        <v>4</v>
      </c>
    </row>
    <row r="25" spans="10:22" ht="18" hidden="1" customHeight="1" x14ac:dyDescent="0.25">
      <c r="J25" s="16">
        <v>3242</v>
      </c>
      <c r="K25" s="16" t="s">
        <v>53</v>
      </c>
      <c r="L25" s="16" t="s">
        <v>45</v>
      </c>
      <c r="M25" s="17">
        <v>45359</v>
      </c>
      <c r="N25" s="16" t="s">
        <v>46</v>
      </c>
      <c r="O25" s="18">
        <v>15</v>
      </c>
      <c r="P25" s="16" t="s">
        <v>54</v>
      </c>
      <c r="Q25" s="16" t="s">
        <v>46</v>
      </c>
      <c r="R25" s="18">
        <v>30</v>
      </c>
      <c r="S25" s="16" t="s">
        <v>46</v>
      </c>
      <c r="T25" s="18">
        <v>20</v>
      </c>
      <c r="U25" s="18">
        <v>20</v>
      </c>
      <c r="V25" s="18">
        <v>45</v>
      </c>
    </row>
    <row r="26" spans="10:22" ht="18" hidden="1" customHeight="1" x14ac:dyDescent="0.25">
      <c r="J26" s="16">
        <v>3243</v>
      </c>
      <c r="K26" s="16" t="s">
        <v>175</v>
      </c>
      <c r="L26" s="16" t="s">
        <v>169</v>
      </c>
      <c r="M26" s="17">
        <v>45360</v>
      </c>
      <c r="N26" s="16" t="s">
        <v>49</v>
      </c>
      <c r="O26" s="18">
        <v>10</v>
      </c>
      <c r="P26" s="16" t="s">
        <v>47</v>
      </c>
      <c r="Q26" s="16" t="s">
        <v>49</v>
      </c>
      <c r="R26" s="18" t="s">
        <v>167</v>
      </c>
      <c r="S26" s="16" t="s">
        <v>46</v>
      </c>
      <c r="T26" s="18">
        <v>20</v>
      </c>
      <c r="U26" s="18">
        <v>10</v>
      </c>
      <c r="V26" s="18">
        <v>20</v>
      </c>
    </row>
    <row r="27" spans="10:22" ht="18" hidden="1" customHeight="1" x14ac:dyDescent="0.25">
      <c r="J27" s="16">
        <v>3244</v>
      </c>
      <c r="K27" s="16" t="s">
        <v>176</v>
      </c>
      <c r="L27" s="16" t="s">
        <v>166</v>
      </c>
      <c r="M27" s="17">
        <v>45361</v>
      </c>
      <c r="N27" s="16" t="s">
        <v>46</v>
      </c>
      <c r="O27" s="18">
        <v>5</v>
      </c>
      <c r="P27" s="16" t="s">
        <v>51</v>
      </c>
      <c r="Q27" s="16" t="s">
        <v>49</v>
      </c>
      <c r="R27" s="18" t="s">
        <v>167</v>
      </c>
      <c r="S27" s="16" t="s">
        <v>49</v>
      </c>
      <c r="T27" s="18">
        <v>0</v>
      </c>
      <c r="U27" s="18">
        <v>0</v>
      </c>
      <c r="V27" s="18">
        <v>5</v>
      </c>
    </row>
    <row r="28" spans="10:22" ht="18" customHeight="1" x14ac:dyDescent="0.25">
      <c r="J28" s="16">
        <v>3245</v>
      </c>
      <c r="K28" s="16" t="s">
        <v>55</v>
      </c>
      <c r="L28" s="16" t="s">
        <v>45</v>
      </c>
      <c r="M28" s="17">
        <v>45362</v>
      </c>
      <c r="N28" s="16" t="s">
        <v>49</v>
      </c>
      <c r="O28" s="18">
        <v>15</v>
      </c>
      <c r="P28" s="16" t="s">
        <v>47</v>
      </c>
      <c r="Q28" s="16" t="s">
        <v>46</v>
      </c>
      <c r="R28" s="18">
        <v>30</v>
      </c>
      <c r="S28" s="16" t="s">
        <v>46</v>
      </c>
      <c r="T28" s="18">
        <v>20</v>
      </c>
      <c r="U28" s="18">
        <v>8</v>
      </c>
      <c r="V28" s="18">
        <v>57</v>
      </c>
    </row>
    <row r="29" spans="10:22" ht="18" hidden="1" customHeight="1" x14ac:dyDescent="0.25">
      <c r="J29" s="16">
        <v>3246</v>
      </c>
      <c r="K29" s="16" t="s">
        <v>177</v>
      </c>
      <c r="L29" s="16" t="s">
        <v>169</v>
      </c>
      <c r="M29" s="17">
        <v>45363</v>
      </c>
      <c r="N29" s="16" t="s">
        <v>46</v>
      </c>
      <c r="O29" s="18">
        <v>10</v>
      </c>
      <c r="P29" s="16" t="s">
        <v>54</v>
      </c>
      <c r="Q29" s="16" t="s">
        <v>49</v>
      </c>
      <c r="R29" s="18" t="s">
        <v>167</v>
      </c>
      <c r="S29" s="16" t="s">
        <v>46</v>
      </c>
      <c r="T29" s="18">
        <v>20</v>
      </c>
      <c r="U29" s="18">
        <v>12</v>
      </c>
      <c r="V29" s="18">
        <v>18</v>
      </c>
    </row>
    <row r="30" spans="10:22" ht="18" hidden="1" customHeight="1" x14ac:dyDescent="0.25">
      <c r="J30" s="16">
        <v>3247</v>
      </c>
      <c r="K30" s="16" t="s">
        <v>178</v>
      </c>
      <c r="L30" s="16" t="s">
        <v>166</v>
      </c>
      <c r="M30" s="17">
        <v>45364</v>
      </c>
      <c r="N30" s="16" t="s">
        <v>49</v>
      </c>
      <c r="O30" s="18">
        <v>5</v>
      </c>
      <c r="P30" s="16" t="s">
        <v>47</v>
      </c>
      <c r="Q30" s="16" t="s">
        <v>49</v>
      </c>
      <c r="R30" s="18" t="s">
        <v>167</v>
      </c>
      <c r="S30" s="16" t="s">
        <v>49</v>
      </c>
      <c r="T30" s="18">
        <v>0</v>
      </c>
      <c r="U30" s="18">
        <v>2</v>
      </c>
      <c r="V30" s="18">
        <v>3</v>
      </c>
    </row>
    <row r="31" spans="10:22" ht="18" hidden="1" customHeight="1" x14ac:dyDescent="0.25">
      <c r="J31" s="16">
        <v>3248</v>
      </c>
      <c r="K31" s="16" t="s">
        <v>56</v>
      </c>
      <c r="L31" s="16" t="s">
        <v>45</v>
      </c>
      <c r="M31" s="17">
        <v>45365</v>
      </c>
      <c r="N31" s="16" t="s">
        <v>46</v>
      </c>
      <c r="O31" s="18">
        <v>15</v>
      </c>
      <c r="P31" s="16" t="s">
        <v>51</v>
      </c>
      <c r="Q31" s="16" t="s">
        <v>46</v>
      </c>
      <c r="R31" s="18">
        <v>30</v>
      </c>
      <c r="S31" s="16" t="s">
        <v>46</v>
      </c>
      <c r="T31" s="18">
        <v>20</v>
      </c>
      <c r="U31" s="18">
        <v>7</v>
      </c>
      <c r="V31" s="18">
        <v>58</v>
      </c>
    </row>
    <row r="32" spans="10:22" ht="18" hidden="1" customHeight="1" x14ac:dyDescent="0.25">
      <c r="J32" s="16">
        <v>3249</v>
      </c>
      <c r="K32" s="16" t="s">
        <v>179</v>
      </c>
      <c r="L32" s="16" t="s">
        <v>169</v>
      </c>
      <c r="M32" s="17">
        <v>45366</v>
      </c>
      <c r="N32" s="16" t="s">
        <v>49</v>
      </c>
      <c r="O32" s="18">
        <v>10</v>
      </c>
      <c r="P32" s="16" t="s">
        <v>47</v>
      </c>
      <c r="Q32" s="16" t="s">
        <v>49</v>
      </c>
      <c r="R32" s="18" t="s">
        <v>167</v>
      </c>
      <c r="S32" s="16" t="s">
        <v>46</v>
      </c>
      <c r="T32" s="18">
        <v>20</v>
      </c>
      <c r="U32" s="18">
        <v>5</v>
      </c>
      <c r="V32" s="18">
        <v>25</v>
      </c>
    </row>
    <row r="33" spans="10:22" ht="18" hidden="1" customHeight="1" x14ac:dyDescent="0.25">
      <c r="J33" s="16">
        <v>3250</v>
      </c>
      <c r="K33" s="16" t="s">
        <v>180</v>
      </c>
      <c r="L33" s="16" t="s">
        <v>166</v>
      </c>
      <c r="M33" s="17">
        <v>45367</v>
      </c>
      <c r="N33" s="16" t="s">
        <v>46</v>
      </c>
      <c r="O33" s="18">
        <v>5</v>
      </c>
      <c r="P33" s="16" t="s">
        <v>54</v>
      </c>
      <c r="Q33" s="16" t="s">
        <v>49</v>
      </c>
      <c r="R33" s="18" t="s">
        <v>167</v>
      </c>
      <c r="S33" s="16" t="s">
        <v>49</v>
      </c>
      <c r="T33" s="18">
        <v>0</v>
      </c>
      <c r="U33" s="18">
        <v>0</v>
      </c>
      <c r="V33" s="18">
        <v>5</v>
      </c>
    </row>
    <row r="34" spans="10:22" ht="18" customHeight="1" x14ac:dyDescent="0.25">
      <c r="J34" s="16">
        <v>3251</v>
      </c>
      <c r="K34" s="16" t="s">
        <v>57</v>
      </c>
      <c r="L34" s="16" t="s">
        <v>45</v>
      </c>
      <c r="M34" s="17">
        <v>45368</v>
      </c>
      <c r="N34" s="16" t="s">
        <v>49</v>
      </c>
      <c r="O34" s="18">
        <v>15</v>
      </c>
      <c r="P34" s="16" t="s">
        <v>47</v>
      </c>
      <c r="Q34" s="16" t="s">
        <v>46</v>
      </c>
      <c r="R34" s="18">
        <v>30</v>
      </c>
      <c r="S34" s="16" t="s">
        <v>46</v>
      </c>
      <c r="T34" s="18">
        <v>20</v>
      </c>
      <c r="U34" s="18">
        <v>3</v>
      </c>
      <c r="V34" s="18">
        <v>62</v>
      </c>
    </row>
    <row r="35" spans="10:22" ht="18" hidden="1" customHeight="1" x14ac:dyDescent="0.25">
      <c r="J35" s="16">
        <v>3252</v>
      </c>
      <c r="K35" s="16" t="s">
        <v>181</v>
      </c>
      <c r="L35" s="16" t="s">
        <v>169</v>
      </c>
      <c r="M35" s="17">
        <v>45369</v>
      </c>
      <c r="N35" s="16" t="s">
        <v>46</v>
      </c>
      <c r="O35" s="18">
        <v>10</v>
      </c>
      <c r="P35" s="16" t="s">
        <v>51</v>
      </c>
      <c r="Q35" s="16" t="s">
        <v>49</v>
      </c>
      <c r="R35" s="18" t="s">
        <v>167</v>
      </c>
      <c r="S35" s="16" t="s">
        <v>46</v>
      </c>
      <c r="T35" s="18">
        <v>20</v>
      </c>
      <c r="U35" s="18">
        <v>15</v>
      </c>
      <c r="V35" s="18">
        <v>15</v>
      </c>
    </row>
    <row r="36" spans="10:22" ht="18" hidden="1" customHeight="1" x14ac:dyDescent="0.25">
      <c r="J36" s="16">
        <v>3253</v>
      </c>
      <c r="K36" s="16" t="s">
        <v>182</v>
      </c>
      <c r="L36" s="16" t="s">
        <v>166</v>
      </c>
      <c r="M36" s="17">
        <v>45370</v>
      </c>
      <c r="N36" s="16" t="s">
        <v>49</v>
      </c>
      <c r="O36" s="18">
        <v>5</v>
      </c>
      <c r="P36" s="16" t="s">
        <v>47</v>
      </c>
      <c r="Q36" s="16" t="s">
        <v>49</v>
      </c>
      <c r="R36" s="18" t="s">
        <v>167</v>
      </c>
      <c r="S36" s="16" t="s">
        <v>49</v>
      </c>
      <c r="T36" s="18">
        <v>0</v>
      </c>
      <c r="U36" s="18">
        <v>1</v>
      </c>
      <c r="V36" s="18">
        <v>4</v>
      </c>
    </row>
    <row r="37" spans="10:22" ht="18" hidden="1" customHeight="1" x14ac:dyDescent="0.25">
      <c r="J37" s="16">
        <v>3254</v>
      </c>
      <c r="K37" s="16" t="s">
        <v>58</v>
      </c>
      <c r="L37" s="16" t="s">
        <v>45</v>
      </c>
      <c r="M37" s="17">
        <v>45371</v>
      </c>
      <c r="N37" s="16" t="s">
        <v>46</v>
      </c>
      <c r="O37" s="18">
        <v>15</v>
      </c>
      <c r="P37" s="16" t="s">
        <v>54</v>
      </c>
      <c r="Q37" s="16" t="s">
        <v>46</v>
      </c>
      <c r="R37" s="18">
        <v>30</v>
      </c>
      <c r="S37" s="16" t="s">
        <v>46</v>
      </c>
      <c r="T37" s="18">
        <v>20</v>
      </c>
      <c r="U37" s="18">
        <v>20</v>
      </c>
      <c r="V37" s="18">
        <v>45</v>
      </c>
    </row>
    <row r="38" spans="10:22" ht="18" hidden="1" customHeight="1" x14ac:dyDescent="0.25">
      <c r="J38" s="16">
        <v>3255</v>
      </c>
      <c r="K38" s="16" t="s">
        <v>183</v>
      </c>
      <c r="L38" s="16" t="s">
        <v>169</v>
      </c>
      <c r="M38" s="17">
        <v>45372</v>
      </c>
      <c r="N38" s="16" t="s">
        <v>49</v>
      </c>
      <c r="O38" s="18">
        <v>10</v>
      </c>
      <c r="P38" s="16" t="s">
        <v>47</v>
      </c>
      <c r="Q38" s="16" t="s">
        <v>49</v>
      </c>
      <c r="R38" s="18" t="s">
        <v>167</v>
      </c>
      <c r="S38" s="16" t="s">
        <v>46</v>
      </c>
      <c r="T38" s="18">
        <v>20</v>
      </c>
      <c r="U38" s="18">
        <v>10</v>
      </c>
      <c r="V38" s="18">
        <v>20</v>
      </c>
    </row>
    <row r="39" spans="10:22" ht="18" hidden="1" customHeight="1" x14ac:dyDescent="0.25">
      <c r="J39" s="16">
        <v>3256</v>
      </c>
      <c r="K39" s="16" t="s">
        <v>184</v>
      </c>
      <c r="L39" s="16" t="s">
        <v>166</v>
      </c>
      <c r="M39" s="17">
        <v>45373</v>
      </c>
      <c r="N39" s="16" t="s">
        <v>46</v>
      </c>
      <c r="O39" s="18">
        <v>5</v>
      </c>
      <c r="P39" s="16" t="s">
        <v>51</v>
      </c>
      <c r="Q39" s="16" t="s">
        <v>49</v>
      </c>
      <c r="R39" s="18" t="s">
        <v>167</v>
      </c>
      <c r="S39" s="16" t="s">
        <v>49</v>
      </c>
      <c r="T39" s="18">
        <v>0</v>
      </c>
      <c r="U39" s="18">
        <v>0</v>
      </c>
      <c r="V39" s="18">
        <v>5</v>
      </c>
    </row>
    <row r="40" spans="10:22" ht="18" customHeight="1" x14ac:dyDescent="0.25">
      <c r="J40" s="16">
        <v>3257</v>
      </c>
      <c r="K40" s="16" t="s">
        <v>59</v>
      </c>
      <c r="L40" s="16" t="s">
        <v>45</v>
      </c>
      <c r="M40" s="17">
        <v>45374</v>
      </c>
      <c r="N40" s="16" t="s">
        <v>49</v>
      </c>
      <c r="O40" s="18">
        <v>15</v>
      </c>
      <c r="P40" s="16" t="s">
        <v>47</v>
      </c>
      <c r="Q40" s="16" t="s">
        <v>46</v>
      </c>
      <c r="R40" s="18">
        <v>30</v>
      </c>
      <c r="S40" s="16" t="s">
        <v>46</v>
      </c>
      <c r="T40" s="18">
        <v>20</v>
      </c>
      <c r="U40" s="18">
        <v>5</v>
      </c>
      <c r="V40" s="18">
        <v>60</v>
      </c>
    </row>
    <row r="41" spans="10:22" ht="18" hidden="1" customHeight="1" x14ac:dyDescent="0.25">
      <c r="J41" s="16">
        <v>3258</v>
      </c>
      <c r="K41" s="16" t="s">
        <v>185</v>
      </c>
      <c r="L41" s="16" t="s">
        <v>169</v>
      </c>
      <c r="M41" s="17">
        <v>45375</v>
      </c>
      <c r="N41" s="16" t="s">
        <v>46</v>
      </c>
      <c r="O41" s="18">
        <v>10</v>
      </c>
      <c r="P41" s="16" t="s">
        <v>54</v>
      </c>
      <c r="Q41" s="16" t="s">
        <v>49</v>
      </c>
      <c r="R41" s="18" t="s">
        <v>167</v>
      </c>
      <c r="S41" s="16" t="s">
        <v>46</v>
      </c>
      <c r="T41" s="18">
        <v>20</v>
      </c>
      <c r="U41" s="18">
        <v>15</v>
      </c>
      <c r="V41" s="18">
        <v>15</v>
      </c>
    </row>
    <row r="42" spans="10:22" ht="18" hidden="1" customHeight="1" x14ac:dyDescent="0.25">
      <c r="J42" s="16">
        <v>3259</v>
      </c>
      <c r="K42" s="16" t="s">
        <v>186</v>
      </c>
      <c r="L42" s="16" t="s">
        <v>166</v>
      </c>
      <c r="M42" s="17">
        <v>45376</v>
      </c>
      <c r="N42" s="16" t="s">
        <v>49</v>
      </c>
      <c r="O42" s="18">
        <v>5</v>
      </c>
      <c r="P42" s="16" t="s">
        <v>47</v>
      </c>
      <c r="Q42" s="16" t="s">
        <v>49</v>
      </c>
      <c r="R42" s="18" t="s">
        <v>167</v>
      </c>
      <c r="S42" s="16" t="s">
        <v>49</v>
      </c>
      <c r="T42" s="18">
        <v>0</v>
      </c>
      <c r="U42" s="18">
        <v>1</v>
      </c>
      <c r="V42" s="18">
        <v>4</v>
      </c>
    </row>
    <row r="43" spans="10:22" ht="18" hidden="1" customHeight="1" x14ac:dyDescent="0.25">
      <c r="J43" s="16">
        <v>3260</v>
      </c>
      <c r="K43" s="16" t="s">
        <v>60</v>
      </c>
      <c r="L43" s="16" t="s">
        <v>45</v>
      </c>
      <c r="M43" s="17">
        <v>45377</v>
      </c>
      <c r="N43" s="16" t="s">
        <v>46</v>
      </c>
      <c r="O43" s="18">
        <v>15</v>
      </c>
      <c r="P43" s="16" t="s">
        <v>51</v>
      </c>
      <c r="Q43" s="16" t="s">
        <v>46</v>
      </c>
      <c r="R43" s="18">
        <v>30</v>
      </c>
      <c r="S43" s="16" t="s">
        <v>46</v>
      </c>
      <c r="T43" s="18">
        <v>20</v>
      </c>
      <c r="U43" s="18">
        <v>7</v>
      </c>
      <c r="V43" s="18">
        <v>58</v>
      </c>
    </row>
    <row r="44" spans="10:22" ht="18" hidden="1" customHeight="1" x14ac:dyDescent="0.25">
      <c r="J44" s="16">
        <v>3261</v>
      </c>
      <c r="K44" s="16" t="s">
        <v>187</v>
      </c>
      <c r="L44" s="16" t="s">
        <v>169</v>
      </c>
      <c r="M44" s="17">
        <v>45378</v>
      </c>
      <c r="N44" s="16" t="s">
        <v>49</v>
      </c>
      <c r="O44" s="18">
        <v>10</v>
      </c>
      <c r="P44" s="16" t="s">
        <v>47</v>
      </c>
      <c r="Q44" s="16" t="s">
        <v>49</v>
      </c>
      <c r="R44" s="18" t="s">
        <v>167</v>
      </c>
      <c r="S44" s="16" t="s">
        <v>46</v>
      </c>
      <c r="T44" s="18">
        <v>20</v>
      </c>
      <c r="U44" s="18">
        <v>10</v>
      </c>
      <c r="V44" s="18">
        <v>20</v>
      </c>
    </row>
    <row r="45" spans="10:22" ht="18" hidden="1" customHeight="1" x14ac:dyDescent="0.25">
      <c r="J45" s="16">
        <v>3262</v>
      </c>
      <c r="K45" s="16" t="s">
        <v>188</v>
      </c>
      <c r="L45" s="16" t="s">
        <v>166</v>
      </c>
      <c r="M45" s="17">
        <v>45379</v>
      </c>
      <c r="N45" s="16" t="s">
        <v>46</v>
      </c>
      <c r="O45" s="18">
        <v>5</v>
      </c>
      <c r="P45" s="16" t="s">
        <v>54</v>
      </c>
      <c r="Q45" s="16" t="s">
        <v>49</v>
      </c>
      <c r="R45" s="18" t="s">
        <v>167</v>
      </c>
      <c r="S45" s="16" t="s">
        <v>49</v>
      </c>
      <c r="T45" s="18">
        <v>0</v>
      </c>
      <c r="U45" s="18">
        <v>0</v>
      </c>
      <c r="V45" s="18">
        <v>5</v>
      </c>
    </row>
    <row r="46" spans="10:22" ht="18" customHeight="1" x14ac:dyDescent="0.25">
      <c r="J46" s="16">
        <v>3263</v>
      </c>
      <c r="K46" s="16" t="s">
        <v>61</v>
      </c>
      <c r="L46" s="16" t="s">
        <v>45</v>
      </c>
      <c r="M46" s="17">
        <v>45380</v>
      </c>
      <c r="N46" s="16" t="s">
        <v>49</v>
      </c>
      <c r="O46" s="18">
        <v>15</v>
      </c>
      <c r="P46" s="16" t="s">
        <v>47</v>
      </c>
      <c r="Q46" s="16" t="s">
        <v>46</v>
      </c>
      <c r="R46" s="18">
        <v>30</v>
      </c>
      <c r="S46" s="16" t="s">
        <v>46</v>
      </c>
      <c r="T46" s="18">
        <v>20</v>
      </c>
      <c r="U46" s="18">
        <v>3</v>
      </c>
      <c r="V46" s="18">
        <v>62</v>
      </c>
    </row>
    <row r="47" spans="10:22" ht="18" hidden="1" customHeight="1" x14ac:dyDescent="0.25">
      <c r="J47" s="16">
        <v>3264</v>
      </c>
      <c r="K47" s="16" t="s">
        <v>189</v>
      </c>
      <c r="L47" s="16" t="s">
        <v>169</v>
      </c>
      <c r="M47" s="17">
        <v>45381</v>
      </c>
      <c r="N47" s="16" t="s">
        <v>46</v>
      </c>
      <c r="O47" s="18">
        <v>10</v>
      </c>
      <c r="P47" s="16" t="s">
        <v>51</v>
      </c>
      <c r="Q47" s="16" t="s">
        <v>49</v>
      </c>
      <c r="R47" s="18" t="s">
        <v>167</v>
      </c>
      <c r="S47" s="16" t="s">
        <v>46</v>
      </c>
      <c r="T47" s="18">
        <v>20</v>
      </c>
      <c r="U47" s="18">
        <v>15</v>
      </c>
      <c r="V47" s="18">
        <v>15</v>
      </c>
    </row>
    <row r="48" spans="10:22" ht="18" hidden="1" customHeight="1" x14ac:dyDescent="0.25">
      <c r="J48" s="16">
        <v>3265</v>
      </c>
      <c r="K48" s="16" t="s">
        <v>190</v>
      </c>
      <c r="L48" s="16" t="s">
        <v>166</v>
      </c>
      <c r="M48" s="17">
        <v>45382</v>
      </c>
      <c r="N48" s="16" t="s">
        <v>49</v>
      </c>
      <c r="O48" s="18">
        <v>5</v>
      </c>
      <c r="P48" s="16" t="s">
        <v>47</v>
      </c>
      <c r="Q48" s="16" t="s">
        <v>49</v>
      </c>
      <c r="R48" s="18" t="s">
        <v>167</v>
      </c>
      <c r="S48" s="16" t="s">
        <v>49</v>
      </c>
      <c r="T48" s="18">
        <v>0</v>
      </c>
      <c r="U48" s="18">
        <v>1</v>
      </c>
      <c r="V48" s="18">
        <v>4</v>
      </c>
    </row>
    <row r="49" spans="10:22" ht="18" hidden="1" customHeight="1" x14ac:dyDescent="0.25">
      <c r="J49" s="16">
        <v>3266</v>
      </c>
      <c r="K49" s="16" t="s">
        <v>191</v>
      </c>
      <c r="L49" s="16" t="s">
        <v>166</v>
      </c>
      <c r="M49" s="17">
        <v>45383</v>
      </c>
      <c r="N49" s="16" t="s">
        <v>46</v>
      </c>
      <c r="O49" s="18">
        <v>5</v>
      </c>
      <c r="P49" s="16" t="s">
        <v>47</v>
      </c>
      <c r="Q49" s="16" t="s">
        <v>49</v>
      </c>
      <c r="R49" s="18" t="s">
        <v>167</v>
      </c>
      <c r="S49" s="16" t="s">
        <v>49</v>
      </c>
      <c r="T49" s="18">
        <v>0</v>
      </c>
      <c r="U49" s="18">
        <v>0</v>
      </c>
      <c r="V49" s="18">
        <v>5</v>
      </c>
    </row>
    <row r="50" spans="10:22" ht="18" hidden="1" customHeight="1" x14ac:dyDescent="0.25">
      <c r="J50" s="16">
        <v>3267</v>
      </c>
      <c r="K50" s="16" t="s">
        <v>62</v>
      </c>
      <c r="L50" s="16" t="s">
        <v>45</v>
      </c>
      <c r="M50" s="17">
        <v>45384</v>
      </c>
      <c r="N50" s="16" t="s">
        <v>49</v>
      </c>
      <c r="O50" s="18">
        <v>15</v>
      </c>
      <c r="P50" s="16" t="s">
        <v>51</v>
      </c>
      <c r="Q50" s="16" t="s">
        <v>46</v>
      </c>
      <c r="R50" s="18">
        <v>30</v>
      </c>
      <c r="S50" s="16" t="s">
        <v>46</v>
      </c>
      <c r="T50" s="18">
        <v>20</v>
      </c>
      <c r="U50" s="18">
        <v>7</v>
      </c>
      <c r="V50" s="18">
        <v>58</v>
      </c>
    </row>
    <row r="51" spans="10:22" ht="18" hidden="1" customHeight="1" x14ac:dyDescent="0.25">
      <c r="J51" s="16">
        <v>3268</v>
      </c>
      <c r="K51" s="16" t="s">
        <v>192</v>
      </c>
      <c r="L51" s="16" t="s">
        <v>169</v>
      </c>
      <c r="M51" s="17">
        <v>45385</v>
      </c>
      <c r="N51" s="16" t="s">
        <v>46</v>
      </c>
      <c r="O51" s="18">
        <v>10</v>
      </c>
      <c r="P51" s="16" t="s">
        <v>54</v>
      </c>
      <c r="Q51" s="16" t="s">
        <v>49</v>
      </c>
      <c r="R51" s="18" t="s">
        <v>167</v>
      </c>
      <c r="S51" s="16" t="s">
        <v>46</v>
      </c>
      <c r="T51" s="18">
        <v>20</v>
      </c>
      <c r="U51" s="18">
        <v>10</v>
      </c>
      <c r="V51" s="18">
        <v>20</v>
      </c>
    </row>
    <row r="52" spans="10:22" ht="18" hidden="1" customHeight="1" x14ac:dyDescent="0.25">
      <c r="J52" s="16">
        <v>3269</v>
      </c>
      <c r="K52" s="16" t="s">
        <v>193</v>
      </c>
      <c r="L52" s="16" t="s">
        <v>166</v>
      </c>
      <c r="M52" s="17">
        <v>45386</v>
      </c>
      <c r="N52" s="16" t="s">
        <v>49</v>
      </c>
      <c r="O52" s="18">
        <v>5</v>
      </c>
      <c r="P52" s="16" t="s">
        <v>51</v>
      </c>
      <c r="Q52" s="16" t="s">
        <v>49</v>
      </c>
      <c r="R52" s="18" t="s">
        <v>167</v>
      </c>
      <c r="S52" s="16" t="s">
        <v>49</v>
      </c>
      <c r="T52" s="18">
        <v>0</v>
      </c>
      <c r="U52" s="18">
        <v>1</v>
      </c>
      <c r="V52" s="18">
        <v>4</v>
      </c>
    </row>
    <row r="53" spans="10:22" ht="18" customHeight="1" x14ac:dyDescent="0.25">
      <c r="J53" s="16">
        <v>3270</v>
      </c>
      <c r="K53" s="16" t="s">
        <v>63</v>
      </c>
      <c r="L53" s="16" t="s">
        <v>45</v>
      </c>
      <c r="M53" s="17">
        <v>45387</v>
      </c>
      <c r="N53" s="16" t="s">
        <v>46</v>
      </c>
      <c r="O53" s="18">
        <v>15</v>
      </c>
      <c r="P53" s="16" t="s">
        <v>47</v>
      </c>
      <c r="Q53" s="16" t="s">
        <v>46</v>
      </c>
      <c r="R53" s="18">
        <v>30</v>
      </c>
      <c r="S53" s="16" t="s">
        <v>46</v>
      </c>
      <c r="T53" s="18">
        <v>20</v>
      </c>
      <c r="U53" s="18">
        <v>15</v>
      </c>
      <c r="V53" s="18">
        <v>50</v>
      </c>
    </row>
    <row r="54" spans="10:22" ht="18" hidden="1" customHeight="1" x14ac:dyDescent="0.25">
      <c r="J54" s="16">
        <v>3271</v>
      </c>
      <c r="K54" s="16" t="s">
        <v>194</v>
      </c>
      <c r="L54" s="16" t="s">
        <v>169</v>
      </c>
      <c r="M54" s="17">
        <v>45388</v>
      </c>
      <c r="N54" s="16" t="s">
        <v>49</v>
      </c>
      <c r="O54" s="18">
        <v>10</v>
      </c>
      <c r="P54" s="16" t="s">
        <v>47</v>
      </c>
      <c r="Q54" s="16" t="s">
        <v>49</v>
      </c>
      <c r="R54" s="18" t="s">
        <v>167</v>
      </c>
      <c r="S54" s="16" t="s">
        <v>46</v>
      </c>
      <c r="T54" s="18">
        <v>20</v>
      </c>
      <c r="U54" s="18">
        <v>5</v>
      </c>
      <c r="V54" s="18">
        <v>25</v>
      </c>
    </row>
    <row r="55" spans="10:22" ht="18" hidden="1" customHeight="1" x14ac:dyDescent="0.25">
      <c r="J55" s="16">
        <v>3272</v>
      </c>
      <c r="K55" s="16" t="s">
        <v>195</v>
      </c>
      <c r="L55" s="16" t="s">
        <v>166</v>
      </c>
      <c r="M55" s="17">
        <v>45389</v>
      </c>
      <c r="N55" s="16" t="s">
        <v>46</v>
      </c>
      <c r="O55" s="18">
        <v>5</v>
      </c>
      <c r="P55" s="16" t="s">
        <v>54</v>
      </c>
      <c r="Q55" s="16" t="s">
        <v>49</v>
      </c>
      <c r="R55" s="18" t="s">
        <v>167</v>
      </c>
      <c r="S55" s="16" t="s">
        <v>49</v>
      </c>
      <c r="T55" s="18">
        <v>0</v>
      </c>
      <c r="U55" s="18">
        <v>0</v>
      </c>
      <c r="V55" s="18">
        <v>5</v>
      </c>
    </row>
    <row r="56" spans="10:22" ht="18" hidden="1" customHeight="1" x14ac:dyDescent="0.25">
      <c r="J56" s="16">
        <v>3273</v>
      </c>
      <c r="K56" s="16" t="s">
        <v>64</v>
      </c>
      <c r="L56" s="16" t="s">
        <v>45</v>
      </c>
      <c r="M56" s="17">
        <v>45390</v>
      </c>
      <c r="N56" s="16" t="s">
        <v>49</v>
      </c>
      <c r="O56" s="18">
        <v>15</v>
      </c>
      <c r="P56" s="16" t="s">
        <v>51</v>
      </c>
      <c r="Q56" s="16" t="s">
        <v>46</v>
      </c>
      <c r="R56" s="18">
        <v>30</v>
      </c>
      <c r="S56" s="16" t="s">
        <v>46</v>
      </c>
      <c r="T56" s="18">
        <v>20</v>
      </c>
      <c r="U56" s="18">
        <v>20</v>
      </c>
      <c r="V56" s="18">
        <v>45</v>
      </c>
    </row>
    <row r="57" spans="10:22" ht="18" hidden="1" customHeight="1" x14ac:dyDescent="0.25">
      <c r="J57" s="16">
        <v>3274</v>
      </c>
      <c r="K57" s="16" t="s">
        <v>196</v>
      </c>
      <c r="L57" s="16" t="s">
        <v>169</v>
      </c>
      <c r="M57" s="17">
        <v>45391</v>
      </c>
      <c r="N57" s="16" t="s">
        <v>46</v>
      </c>
      <c r="O57" s="18">
        <v>10</v>
      </c>
      <c r="P57" s="16" t="s">
        <v>51</v>
      </c>
      <c r="Q57" s="16" t="s">
        <v>49</v>
      </c>
      <c r="R57" s="18" t="s">
        <v>167</v>
      </c>
      <c r="S57" s="16" t="s">
        <v>46</v>
      </c>
      <c r="T57" s="18">
        <v>20</v>
      </c>
      <c r="U57" s="18">
        <v>12</v>
      </c>
      <c r="V57" s="18">
        <v>18</v>
      </c>
    </row>
    <row r="58" spans="10:22" ht="18" hidden="1" customHeight="1" x14ac:dyDescent="0.25">
      <c r="J58" s="16">
        <v>3275</v>
      </c>
      <c r="K58" s="16" t="s">
        <v>197</v>
      </c>
      <c r="L58" s="16" t="s">
        <v>166</v>
      </c>
      <c r="M58" s="17">
        <v>45392</v>
      </c>
      <c r="N58" s="16" t="s">
        <v>49</v>
      </c>
      <c r="O58" s="18">
        <v>5</v>
      </c>
      <c r="P58" s="16" t="s">
        <v>47</v>
      </c>
      <c r="Q58" s="16" t="s">
        <v>49</v>
      </c>
      <c r="R58" s="18" t="s">
        <v>167</v>
      </c>
      <c r="S58" s="16" t="s">
        <v>49</v>
      </c>
      <c r="T58" s="18">
        <v>0</v>
      </c>
      <c r="U58" s="18">
        <v>2</v>
      </c>
      <c r="V58" s="18">
        <v>3</v>
      </c>
    </row>
    <row r="59" spans="10:22" ht="18" hidden="1" customHeight="1" x14ac:dyDescent="0.25">
      <c r="J59" s="16">
        <v>3276</v>
      </c>
      <c r="K59" s="16" t="s">
        <v>65</v>
      </c>
      <c r="L59" s="16" t="s">
        <v>45</v>
      </c>
      <c r="M59" s="17">
        <v>45393</v>
      </c>
      <c r="N59" s="16" t="s">
        <v>46</v>
      </c>
      <c r="O59" s="18">
        <v>15</v>
      </c>
      <c r="P59" s="16" t="s">
        <v>54</v>
      </c>
      <c r="Q59" s="16" t="s">
        <v>46</v>
      </c>
      <c r="R59" s="18">
        <v>30</v>
      </c>
      <c r="S59" s="16" t="s">
        <v>46</v>
      </c>
      <c r="T59" s="18">
        <v>20</v>
      </c>
      <c r="U59" s="18">
        <v>5</v>
      </c>
      <c r="V59" s="18">
        <v>60</v>
      </c>
    </row>
    <row r="60" spans="10:22" ht="18" hidden="1" customHeight="1" x14ac:dyDescent="0.25">
      <c r="J60" s="16">
        <v>3277</v>
      </c>
      <c r="K60" s="16" t="s">
        <v>198</v>
      </c>
      <c r="L60" s="16" t="s">
        <v>169</v>
      </c>
      <c r="M60" s="17">
        <v>45394</v>
      </c>
      <c r="N60" s="16" t="s">
        <v>49</v>
      </c>
      <c r="O60" s="18">
        <v>10</v>
      </c>
      <c r="P60" s="16" t="s">
        <v>47</v>
      </c>
      <c r="Q60" s="16" t="s">
        <v>49</v>
      </c>
      <c r="R60" s="18" t="s">
        <v>167</v>
      </c>
      <c r="S60" s="16" t="s">
        <v>46</v>
      </c>
      <c r="T60" s="18">
        <v>20</v>
      </c>
      <c r="U60" s="18">
        <v>10</v>
      </c>
      <c r="V60" s="18">
        <v>20</v>
      </c>
    </row>
    <row r="61" spans="10:22" ht="18" hidden="1" customHeight="1" x14ac:dyDescent="0.25">
      <c r="J61" s="16">
        <v>3278</v>
      </c>
      <c r="K61" s="16" t="s">
        <v>199</v>
      </c>
      <c r="L61" s="16" t="s">
        <v>166</v>
      </c>
      <c r="M61" s="17">
        <v>45395</v>
      </c>
      <c r="N61" s="16" t="s">
        <v>46</v>
      </c>
      <c r="O61" s="18">
        <v>5</v>
      </c>
      <c r="P61" s="16" t="s">
        <v>51</v>
      </c>
      <c r="Q61" s="16" t="s">
        <v>49</v>
      </c>
      <c r="R61" s="18" t="s">
        <v>167</v>
      </c>
      <c r="S61" s="16" t="s">
        <v>49</v>
      </c>
      <c r="T61" s="18">
        <v>0</v>
      </c>
      <c r="U61" s="18">
        <v>0</v>
      </c>
      <c r="V61" s="18">
        <v>5</v>
      </c>
    </row>
    <row r="62" spans="10:22" ht="18" customHeight="1" x14ac:dyDescent="0.25">
      <c r="J62" s="16">
        <v>3279</v>
      </c>
      <c r="K62" s="16" t="s">
        <v>66</v>
      </c>
      <c r="L62" s="16" t="s">
        <v>45</v>
      </c>
      <c r="M62" s="17">
        <v>45396</v>
      </c>
      <c r="N62" s="16" t="s">
        <v>49</v>
      </c>
      <c r="O62" s="18">
        <v>15</v>
      </c>
      <c r="P62" s="16" t="s">
        <v>47</v>
      </c>
      <c r="Q62" s="16" t="s">
        <v>46</v>
      </c>
      <c r="R62" s="18">
        <v>30</v>
      </c>
      <c r="S62" s="16" t="s">
        <v>46</v>
      </c>
      <c r="T62" s="18">
        <v>20</v>
      </c>
      <c r="U62" s="18">
        <v>3</v>
      </c>
      <c r="V62" s="18">
        <v>62</v>
      </c>
    </row>
    <row r="63" spans="10:22" ht="18" hidden="1" customHeight="1" x14ac:dyDescent="0.25">
      <c r="J63" s="16">
        <v>3280</v>
      </c>
      <c r="K63" s="16" t="s">
        <v>200</v>
      </c>
      <c r="L63" s="16" t="s">
        <v>169</v>
      </c>
      <c r="M63" s="17">
        <v>45397</v>
      </c>
      <c r="N63" s="16" t="s">
        <v>46</v>
      </c>
      <c r="O63" s="18">
        <v>10</v>
      </c>
      <c r="P63" s="16" t="s">
        <v>54</v>
      </c>
      <c r="Q63" s="16" t="s">
        <v>49</v>
      </c>
      <c r="R63" s="18" t="s">
        <v>167</v>
      </c>
      <c r="S63" s="16" t="s">
        <v>46</v>
      </c>
      <c r="T63" s="18">
        <v>20</v>
      </c>
      <c r="U63" s="18">
        <v>15</v>
      </c>
      <c r="V63" s="18">
        <v>15</v>
      </c>
    </row>
    <row r="64" spans="10:22" ht="18" hidden="1" customHeight="1" x14ac:dyDescent="0.25">
      <c r="J64" s="16">
        <v>3281</v>
      </c>
      <c r="K64" s="16" t="s">
        <v>201</v>
      </c>
      <c r="L64" s="16" t="s">
        <v>166</v>
      </c>
      <c r="M64" s="17">
        <v>45398</v>
      </c>
      <c r="N64" s="16" t="s">
        <v>49</v>
      </c>
      <c r="O64" s="18">
        <v>5</v>
      </c>
      <c r="P64" s="16" t="s">
        <v>47</v>
      </c>
      <c r="Q64" s="16" t="s">
        <v>49</v>
      </c>
      <c r="R64" s="18" t="s">
        <v>167</v>
      </c>
      <c r="S64" s="16" t="s">
        <v>49</v>
      </c>
      <c r="T64" s="18">
        <v>0</v>
      </c>
      <c r="U64" s="18">
        <v>1</v>
      </c>
      <c r="V64" s="18">
        <v>4</v>
      </c>
    </row>
    <row r="65" spans="10:22" ht="18" hidden="1" customHeight="1" x14ac:dyDescent="0.25">
      <c r="J65" s="16">
        <v>3282</v>
      </c>
      <c r="K65" s="16" t="s">
        <v>67</v>
      </c>
      <c r="L65" s="16" t="s">
        <v>45</v>
      </c>
      <c r="M65" s="17">
        <v>45399</v>
      </c>
      <c r="N65" s="16" t="s">
        <v>46</v>
      </c>
      <c r="O65" s="18">
        <v>15</v>
      </c>
      <c r="P65" s="16" t="s">
        <v>51</v>
      </c>
      <c r="Q65" s="16" t="s">
        <v>46</v>
      </c>
      <c r="R65" s="18">
        <v>30</v>
      </c>
      <c r="S65" s="16" t="s">
        <v>46</v>
      </c>
      <c r="T65" s="18">
        <v>20</v>
      </c>
      <c r="U65" s="18">
        <v>7</v>
      </c>
      <c r="V65" s="18">
        <v>58</v>
      </c>
    </row>
    <row r="66" spans="10:22" ht="18" hidden="1" customHeight="1" x14ac:dyDescent="0.25">
      <c r="J66" s="16">
        <v>3283</v>
      </c>
      <c r="K66" s="16" t="s">
        <v>202</v>
      </c>
      <c r="L66" s="16" t="s">
        <v>169</v>
      </c>
      <c r="M66" s="17">
        <v>45400</v>
      </c>
      <c r="N66" s="16" t="s">
        <v>49</v>
      </c>
      <c r="O66" s="18">
        <v>10</v>
      </c>
      <c r="P66" s="16" t="s">
        <v>47</v>
      </c>
      <c r="Q66" s="16" t="s">
        <v>49</v>
      </c>
      <c r="R66" s="18" t="s">
        <v>167</v>
      </c>
      <c r="S66" s="16" t="s">
        <v>46</v>
      </c>
      <c r="T66" s="18">
        <v>20</v>
      </c>
      <c r="U66" s="18">
        <v>10</v>
      </c>
      <c r="V66" s="18">
        <v>20</v>
      </c>
    </row>
    <row r="67" spans="10:22" ht="18" hidden="1" customHeight="1" x14ac:dyDescent="0.25">
      <c r="J67" s="16">
        <v>3284</v>
      </c>
      <c r="K67" s="16" t="s">
        <v>203</v>
      </c>
      <c r="L67" s="16" t="s">
        <v>166</v>
      </c>
      <c r="M67" s="17">
        <v>45401</v>
      </c>
      <c r="N67" s="16" t="s">
        <v>46</v>
      </c>
      <c r="O67" s="18">
        <v>5</v>
      </c>
      <c r="P67" s="16" t="s">
        <v>54</v>
      </c>
      <c r="Q67" s="16" t="s">
        <v>49</v>
      </c>
      <c r="R67" s="18" t="s">
        <v>167</v>
      </c>
      <c r="S67" s="16" t="s">
        <v>49</v>
      </c>
      <c r="T67" s="18">
        <v>0</v>
      </c>
      <c r="U67" s="18">
        <v>0</v>
      </c>
      <c r="V67" s="18">
        <v>5</v>
      </c>
    </row>
    <row r="68" spans="10:22" ht="18" customHeight="1" x14ac:dyDescent="0.25">
      <c r="J68" s="16">
        <v>3285</v>
      </c>
      <c r="K68" s="16" t="s">
        <v>68</v>
      </c>
      <c r="L68" s="16" t="s">
        <v>45</v>
      </c>
      <c r="M68" s="17">
        <v>45402</v>
      </c>
      <c r="N68" s="16" t="s">
        <v>49</v>
      </c>
      <c r="O68" s="18">
        <v>15</v>
      </c>
      <c r="P68" s="16" t="s">
        <v>47</v>
      </c>
      <c r="Q68" s="16" t="s">
        <v>46</v>
      </c>
      <c r="R68" s="18">
        <v>30</v>
      </c>
      <c r="S68" s="16" t="s">
        <v>46</v>
      </c>
      <c r="T68" s="18">
        <v>20</v>
      </c>
      <c r="U68" s="18">
        <v>20</v>
      </c>
      <c r="V68" s="18">
        <v>45</v>
      </c>
    </row>
    <row r="69" spans="10:22" ht="18" hidden="1" customHeight="1" x14ac:dyDescent="0.25">
      <c r="J69" s="16">
        <v>3286</v>
      </c>
      <c r="K69" s="16" t="s">
        <v>204</v>
      </c>
      <c r="L69" s="16" t="s">
        <v>169</v>
      </c>
      <c r="M69" s="17">
        <v>45403</v>
      </c>
      <c r="N69" s="16" t="s">
        <v>46</v>
      </c>
      <c r="O69" s="18">
        <v>10</v>
      </c>
      <c r="P69" s="16" t="s">
        <v>51</v>
      </c>
      <c r="Q69" s="16" t="s">
        <v>49</v>
      </c>
      <c r="R69" s="18" t="s">
        <v>167</v>
      </c>
      <c r="S69" s="16" t="s">
        <v>46</v>
      </c>
      <c r="T69" s="18">
        <v>20</v>
      </c>
      <c r="U69" s="18">
        <v>15</v>
      </c>
      <c r="V69" s="18">
        <v>15</v>
      </c>
    </row>
    <row r="70" spans="10:22" ht="18" hidden="1" customHeight="1" x14ac:dyDescent="0.25">
      <c r="J70" s="16">
        <v>3287</v>
      </c>
      <c r="K70" s="16" t="s">
        <v>205</v>
      </c>
      <c r="L70" s="16" t="s">
        <v>166</v>
      </c>
      <c r="M70" s="17">
        <v>45404</v>
      </c>
      <c r="N70" s="16" t="s">
        <v>49</v>
      </c>
      <c r="O70" s="18">
        <v>5</v>
      </c>
      <c r="P70" s="16" t="s">
        <v>47</v>
      </c>
      <c r="Q70" s="16" t="s">
        <v>49</v>
      </c>
      <c r="R70" s="18" t="s">
        <v>167</v>
      </c>
      <c r="S70" s="16" t="s">
        <v>49</v>
      </c>
      <c r="T70" s="18">
        <v>0</v>
      </c>
      <c r="U70" s="18">
        <v>1</v>
      </c>
      <c r="V70" s="18">
        <v>4</v>
      </c>
    </row>
    <row r="71" spans="10:22" ht="18" hidden="1" customHeight="1" x14ac:dyDescent="0.25">
      <c r="J71" s="16">
        <v>3288</v>
      </c>
      <c r="K71" s="16" t="s">
        <v>69</v>
      </c>
      <c r="L71" s="16" t="s">
        <v>45</v>
      </c>
      <c r="M71" s="17">
        <v>45405</v>
      </c>
      <c r="N71" s="16" t="s">
        <v>46</v>
      </c>
      <c r="O71" s="18">
        <v>15</v>
      </c>
      <c r="P71" s="16" t="s">
        <v>54</v>
      </c>
      <c r="Q71" s="16" t="s">
        <v>46</v>
      </c>
      <c r="R71" s="18">
        <v>30</v>
      </c>
      <c r="S71" s="16" t="s">
        <v>46</v>
      </c>
      <c r="T71" s="18">
        <v>20</v>
      </c>
      <c r="U71" s="18">
        <v>3</v>
      </c>
      <c r="V71" s="18">
        <v>62</v>
      </c>
    </row>
    <row r="72" spans="10:22" ht="18" hidden="1" customHeight="1" x14ac:dyDescent="0.25">
      <c r="J72" s="16">
        <v>3289</v>
      </c>
      <c r="K72" s="16" t="s">
        <v>102</v>
      </c>
      <c r="L72" s="16" t="s">
        <v>169</v>
      </c>
      <c r="M72" s="17">
        <v>45406</v>
      </c>
      <c r="N72" s="16" t="s">
        <v>49</v>
      </c>
      <c r="O72" s="18">
        <v>10</v>
      </c>
      <c r="P72" s="16" t="s">
        <v>47</v>
      </c>
      <c r="Q72" s="16" t="s">
        <v>49</v>
      </c>
      <c r="R72" s="18" t="s">
        <v>167</v>
      </c>
      <c r="S72" s="16" t="s">
        <v>46</v>
      </c>
      <c r="T72" s="18">
        <v>20</v>
      </c>
      <c r="U72" s="18">
        <v>10</v>
      </c>
      <c r="V72" s="18">
        <v>20</v>
      </c>
    </row>
    <row r="73" spans="10:22" ht="18" hidden="1" customHeight="1" x14ac:dyDescent="0.25">
      <c r="J73" s="16">
        <v>3290</v>
      </c>
      <c r="K73" s="16" t="s">
        <v>206</v>
      </c>
      <c r="L73" s="16" t="s">
        <v>166</v>
      </c>
      <c r="M73" s="17">
        <v>45407</v>
      </c>
      <c r="N73" s="16" t="s">
        <v>46</v>
      </c>
      <c r="O73" s="18">
        <v>5</v>
      </c>
      <c r="P73" s="16" t="s">
        <v>51</v>
      </c>
      <c r="Q73" s="16" t="s">
        <v>49</v>
      </c>
      <c r="R73" s="18" t="s">
        <v>167</v>
      </c>
      <c r="S73" s="16" t="s">
        <v>49</v>
      </c>
      <c r="T73" s="18">
        <v>0</v>
      </c>
      <c r="U73" s="18">
        <v>0</v>
      </c>
      <c r="V73" s="18">
        <v>5</v>
      </c>
    </row>
    <row r="74" spans="10:22" ht="18" customHeight="1" x14ac:dyDescent="0.25">
      <c r="J74" s="16">
        <v>3291</v>
      </c>
      <c r="K74" s="16" t="s">
        <v>70</v>
      </c>
      <c r="L74" s="16" t="s">
        <v>45</v>
      </c>
      <c r="M74" s="17">
        <v>45408</v>
      </c>
      <c r="N74" s="16" t="s">
        <v>49</v>
      </c>
      <c r="O74" s="18">
        <v>15</v>
      </c>
      <c r="P74" s="16" t="s">
        <v>47</v>
      </c>
      <c r="Q74" s="16" t="s">
        <v>46</v>
      </c>
      <c r="R74" s="18">
        <v>30</v>
      </c>
      <c r="S74" s="16" t="s">
        <v>46</v>
      </c>
      <c r="T74" s="18">
        <v>20</v>
      </c>
      <c r="U74" s="18">
        <v>5</v>
      </c>
      <c r="V74" s="18">
        <v>60</v>
      </c>
    </row>
    <row r="75" spans="10:22" ht="18" hidden="1" customHeight="1" x14ac:dyDescent="0.25">
      <c r="J75" s="16">
        <v>3292</v>
      </c>
      <c r="K75" s="16" t="s">
        <v>207</v>
      </c>
      <c r="L75" s="16" t="s">
        <v>169</v>
      </c>
      <c r="M75" s="17">
        <v>45409</v>
      </c>
      <c r="N75" s="16" t="s">
        <v>46</v>
      </c>
      <c r="O75" s="18">
        <v>10</v>
      </c>
      <c r="P75" s="16" t="s">
        <v>54</v>
      </c>
      <c r="Q75" s="16" t="s">
        <v>49</v>
      </c>
      <c r="R75" s="18" t="s">
        <v>167</v>
      </c>
      <c r="S75" s="16" t="s">
        <v>46</v>
      </c>
      <c r="T75" s="18">
        <v>20</v>
      </c>
      <c r="U75" s="18">
        <v>15</v>
      </c>
      <c r="V75" s="18">
        <v>15</v>
      </c>
    </row>
    <row r="76" spans="10:22" ht="18" hidden="1" customHeight="1" x14ac:dyDescent="0.25">
      <c r="J76" s="16">
        <v>3293</v>
      </c>
      <c r="K76" s="16" t="s">
        <v>208</v>
      </c>
      <c r="L76" s="16" t="s">
        <v>166</v>
      </c>
      <c r="M76" s="17">
        <v>45410</v>
      </c>
      <c r="N76" s="16" t="s">
        <v>49</v>
      </c>
      <c r="O76" s="18">
        <v>5</v>
      </c>
      <c r="P76" s="16" t="s">
        <v>47</v>
      </c>
      <c r="Q76" s="16" t="s">
        <v>49</v>
      </c>
      <c r="R76" s="18" t="s">
        <v>167</v>
      </c>
      <c r="S76" s="16" t="s">
        <v>49</v>
      </c>
      <c r="T76" s="18">
        <v>0</v>
      </c>
      <c r="U76" s="18">
        <v>1</v>
      </c>
      <c r="V76" s="18">
        <v>4</v>
      </c>
    </row>
    <row r="77" spans="10:22" ht="18" hidden="1" customHeight="1" x14ac:dyDescent="0.25">
      <c r="J77" s="16">
        <v>3294</v>
      </c>
      <c r="K77" s="16" t="s">
        <v>71</v>
      </c>
      <c r="L77" s="16" t="s">
        <v>45</v>
      </c>
      <c r="M77" s="17">
        <v>45411</v>
      </c>
      <c r="N77" s="16" t="s">
        <v>46</v>
      </c>
      <c r="O77" s="18">
        <v>15</v>
      </c>
      <c r="P77" s="16" t="s">
        <v>51</v>
      </c>
      <c r="Q77" s="16" t="s">
        <v>46</v>
      </c>
      <c r="R77" s="18">
        <v>30</v>
      </c>
      <c r="S77" s="16" t="s">
        <v>46</v>
      </c>
      <c r="T77" s="18">
        <v>20</v>
      </c>
      <c r="U77" s="18">
        <v>20</v>
      </c>
      <c r="V77" s="18">
        <v>45</v>
      </c>
    </row>
    <row r="78" spans="10:22" ht="18" hidden="1" customHeight="1" x14ac:dyDescent="0.25">
      <c r="J78" s="16">
        <v>3295</v>
      </c>
      <c r="K78" s="16" t="s">
        <v>209</v>
      </c>
      <c r="L78" s="16" t="s">
        <v>169</v>
      </c>
      <c r="M78" s="17">
        <v>45412</v>
      </c>
      <c r="N78" s="16" t="s">
        <v>49</v>
      </c>
      <c r="O78" s="18">
        <v>10</v>
      </c>
      <c r="P78" s="16" t="s">
        <v>47</v>
      </c>
      <c r="Q78" s="16" t="s">
        <v>49</v>
      </c>
      <c r="R78" s="18" t="s">
        <v>167</v>
      </c>
      <c r="S78" s="16" t="s">
        <v>46</v>
      </c>
      <c r="T78" s="18">
        <v>20</v>
      </c>
      <c r="U78" s="18">
        <v>5</v>
      </c>
      <c r="V78" s="18">
        <v>25</v>
      </c>
    </row>
    <row r="79" spans="10:22" ht="18" hidden="1" customHeight="1" x14ac:dyDescent="0.25">
      <c r="J79" s="16">
        <v>3296</v>
      </c>
      <c r="K79" s="16" t="s">
        <v>210</v>
      </c>
      <c r="L79" s="16" t="s">
        <v>166</v>
      </c>
      <c r="M79" s="17">
        <v>45413</v>
      </c>
      <c r="N79" s="16" t="s">
        <v>49</v>
      </c>
      <c r="O79" s="18">
        <v>5</v>
      </c>
      <c r="P79" s="16" t="s">
        <v>47</v>
      </c>
      <c r="Q79" s="16" t="s">
        <v>49</v>
      </c>
      <c r="R79" s="18" t="s">
        <v>167</v>
      </c>
      <c r="S79" s="16" t="s">
        <v>49</v>
      </c>
      <c r="T79" s="18">
        <v>0</v>
      </c>
      <c r="U79" s="18">
        <v>0</v>
      </c>
      <c r="V79" s="18">
        <v>5</v>
      </c>
    </row>
    <row r="80" spans="10:22" ht="18" hidden="1" customHeight="1" x14ac:dyDescent="0.25">
      <c r="J80" s="16">
        <v>3297</v>
      </c>
      <c r="K80" s="16" t="s">
        <v>72</v>
      </c>
      <c r="L80" s="16" t="s">
        <v>45</v>
      </c>
      <c r="M80" s="17">
        <v>45414</v>
      </c>
      <c r="N80" s="16" t="s">
        <v>46</v>
      </c>
      <c r="O80" s="18">
        <v>15</v>
      </c>
      <c r="P80" s="16" t="s">
        <v>51</v>
      </c>
      <c r="Q80" s="16" t="s">
        <v>46</v>
      </c>
      <c r="R80" s="18">
        <v>30</v>
      </c>
      <c r="S80" s="16" t="s">
        <v>46</v>
      </c>
      <c r="T80" s="18">
        <v>20</v>
      </c>
      <c r="U80" s="18">
        <v>7</v>
      </c>
      <c r="V80" s="18">
        <v>58</v>
      </c>
    </row>
    <row r="81" spans="10:22" ht="18" hidden="1" customHeight="1" x14ac:dyDescent="0.25">
      <c r="J81" s="16">
        <v>3298</v>
      </c>
      <c r="K81" s="16" t="s">
        <v>211</v>
      </c>
      <c r="L81" s="16" t="s">
        <v>169</v>
      </c>
      <c r="M81" s="17">
        <v>45415</v>
      </c>
      <c r="N81" s="16" t="s">
        <v>49</v>
      </c>
      <c r="O81" s="18">
        <v>10</v>
      </c>
      <c r="P81" s="16" t="s">
        <v>54</v>
      </c>
      <c r="Q81" s="16" t="s">
        <v>49</v>
      </c>
      <c r="R81" s="18" t="s">
        <v>167</v>
      </c>
      <c r="S81" s="16" t="s">
        <v>46</v>
      </c>
      <c r="T81" s="18">
        <v>20</v>
      </c>
      <c r="U81" s="18">
        <v>10</v>
      </c>
      <c r="V81" s="18">
        <v>20</v>
      </c>
    </row>
    <row r="82" spans="10:22" ht="18" hidden="1" customHeight="1" x14ac:dyDescent="0.25">
      <c r="J82" s="16">
        <v>3299</v>
      </c>
      <c r="K82" s="16" t="s">
        <v>212</v>
      </c>
      <c r="L82" s="16" t="s">
        <v>166</v>
      </c>
      <c r="M82" s="17">
        <v>45416</v>
      </c>
      <c r="N82" s="16" t="s">
        <v>46</v>
      </c>
      <c r="O82" s="18">
        <v>5</v>
      </c>
      <c r="P82" s="16" t="s">
        <v>51</v>
      </c>
      <c r="Q82" s="16" t="s">
        <v>49</v>
      </c>
      <c r="R82" s="18" t="s">
        <v>167</v>
      </c>
      <c r="S82" s="16" t="s">
        <v>49</v>
      </c>
      <c r="T82" s="18">
        <v>0</v>
      </c>
      <c r="U82" s="18">
        <v>1</v>
      </c>
      <c r="V82" s="18">
        <v>4</v>
      </c>
    </row>
    <row r="83" spans="10:22" ht="18" customHeight="1" x14ac:dyDescent="0.25">
      <c r="J83" s="16">
        <v>3300</v>
      </c>
      <c r="K83" s="16" t="s">
        <v>73</v>
      </c>
      <c r="L83" s="16" t="s">
        <v>45</v>
      </c>
      <c r="M83" s="17">
        <v>45417</v>
      </c>
      <c r="N83" s="16" t="s">
        <v>49</v>
      </c>
      <c r="O83" s="18">
        <v>15</v>
      </c>
      <c r="P83" s="16" t="s">
        <v>47</v>
      </c>
      <c r="Q83" s="16" t="s">
        <v>46</v>
      </c>
      <c r="R83" s="18">
        <v>30</v>
      </c>
      <c r="S83" s="16" t="s">
        <v>46</v>
      </c>
      <c r="T83" s="18">
        <v>20</v>
      </c>
      <c r="U83" s="18">
        <v>15</v>
      </c>
      <c r="V83" s="18">
        <v>50</v>
      </c>
    </row>
    <row r="84" spans="10:22" ht="18" hidden="1" customHeight="1" x14ac:dyDescent="0.25">
      <c r="J84" s="16">
        <v>3301</v>
      </c>
      <c r="K84" s="16" t="s">
        <v>213</v>
      </c>
      <c r="L84" s="16" t="s">
        <v>169</v>
      </c>
      <c r="M84" s="17">
        <v>45418</v>
      </c>
      <c r="N84" s="16" t="s">
        <v>46</v>
      </c>
      <c r="O84" s="18">
        <v>10</v>
      </c>
      <c r="P84" s="16" t="s">
        <v>47</v>
      </c>
      <c r="Q84" s="16" t="s">
        <v>49</v>
      </c>
      <c r="R84" s="18" t="s">
        <v>167</v>
      </c>
      <c r="S84" s="16" t="s">
        <v>46</v>
      </c>
      <c r="T84" s="18">
        <v>20</v>
      </c>
      <c r="U84" s="18">
        <v>5</v>
      </c>
      <c r="V84" s="18">
        <v>25</v>
      </c>
    </row>
    <row r="85" spans="10:22" ht="18" hidden="1" customHeight="1" x14ac:dyDescent="0.25">
      <c r="J85" s="16">
        <v>3302</v>
      </c>
      <c r="K85" s="16" t="s">
        <v>214</v>
      </c>
      <c r="L85" s="16" t="s">
        <v>166</v>
      </c>
      <c r="M85" s="17">
        <v>45419</v>
      </c>
      <c r="N85" s="16" t="s">
        <v>49</v>
      </c>
      <c r="O85" s="18">
        <v>5</v>
      </c>
      <c r="P85" s="16" t="s">
        <v>54</v>
      </c>
      <c r="Q85" s="16" t="s">
        <v>49</v>
      </c>
      <c r="R85" s="18" t="s">
        <v>167</v>
      </c>
      <c r="S85" s="16" t="s">
        <v>49</v>
      </c>
      <c r="T85" s="18">
        <v>0</v>
      </c>
      <c r="U85" s="18">
        <v>0</v>
      </c>
      <c r="V85" s="18">
        <v>5</v>
      </c>
    </row>
    <row r="86" spans="10:22" ht="18" hidden="1" customHeight="1" x14ac:dyDescent="0.25">
      <c r="J86" s="16">
        <v>3303</v>
      </c>
      <c r="K86" s="16" t="s">
        <v>74</v>
      </c>
      <c r="L86" s="16" t="s">
        <v>45</v>
      </c>
      <c r="M86" s="17">
        <v>45420</v>
      </c>
      <c r="N86" s="16" t="s">
        <v>46</v>
      </c>
      <c r="O86" s="18">
        <v>15</v>
      </c>
      <c r="P86" s="16" t="s">
        <v>51</v>
      </c>
      <c r="Q86" s="16" t="s">
        <v>46</v>
      </c>
      <c r="R86" s="18">
        <v>30</v>
      </c>
      <c r="S86" s="16" t="s">
        <v>46</v>
      </c>
      <c r="T86" s="18">
        <v>20</v>
      </c>
      <c r="U86" s="18">
        <v>20</v>
      </c>
      <c r="V86" s="18">
        <v>45</v>
      </c>
    </row>
    <row r="87" spans="10:22" ht="18" hidden="1" customHeight="1" x14ac:dyDescent="0.25">
      <c r="J87" s="16">
        <v>3304</v>
      </c>
      <c r="K87" s="16" t="s">
        <v>215</v>
      </c>
      <c r="L87" s="16" t="s">
        <v>169</v>
      </c>
      <c r="M87" s="17">
        <v>45421</v>
      </c>
      <c r="N87" s="16" t="s">
        <v>49</v>
      </c>
      <c r="O87" s="18">
        <v>10</v>
      </c>
      <c r="P87" s="16" t="s">
        <v>51</v>
      </c>
      <c r="Q87" s="16" t="s">
        <v>49</v>
      </c>
      <c r="R87" s="18" t="s">
        <v>167</v>
      </c>
      <c r="S87" s="16" t="s">
        <v>46</v>
      </c>
      <c r="T87" s="18">
        <v>20</v>
      </c>
      <c r="U87" s="18">
        <v>12</v>
      </c>
      <c r="V87" s="18">
        <v>18</v>
      </c>
    </row>
    <row r="88" spans="10:22" ht="18" hidden="1" customHeight="1" x14ac:dyDescent="0.25">
      <c r="J88" s="16">
        <v>3305</v>
      </c>
      <c r="K88" s="16" t="s">
        <v>216</v>
      </c>
      <c r="L88" s="16" t="s">
        <v>166</v>
      </c>
      <c r="M88" s="17">
        <v>45422</v>
      </c>
      <c r="N88" s="16" t="s">
        <v>46</v>
      </c>
      <c r="O88" s="18">
        <v>5</v>
      </c>
      <c r="P88" s="16" t="s">
        <v>47</v>
      </c>
      <c r="Q88" s="16" t="s">
        <v>49</v>
      </c>
      <c r="R88" s="18" t="s">
        <v>167</v>
      </c>
      <c r="S88" s="16" t="s">
        <v>49</v>
      </c>
      <c r="T88" s="18">
        <v>0</v>
      </c>
      <c r="U88" s="18">
        <v>2</v>
      </c>
      <c r="V88" s="18">
        <v>3</v>
      </c>
    </row>
    <row r="89" spans="10:22" ht="18" hidden="1" customHeight="1" x14ac:dyDescent="0.25">
      <c r="J89" s="16">
        <v>3306</v>
      </c>
      <c r="K89" s="16" t="s">
        <v>75</v>
      </c>
      <c r="L89" s="16" t="s">
        <v>45</v>
      </c>
      <c r="M89" s="17">
        <v>45423</v>
      </c>
      <c r="N89" s="16" t="s">
        <v>49</v>
      </c>
      <c r="O89" s="18">
        <v>15</v>
      </c>
      <c r="P89" s="16" t="s">
        <v>54</v>
      </c>
      <c r="Q89" s="16" t="s">
        <v>46</v>
      </c>
      <c r="R89" s="18">
        <v>30</v>
      </c>
      <c r="S89" s="16" t="s">
        <v>46</v>
      </c>
      <c r="T89" s="18">
        <v>20</v>
      </c>
      <c r="U89" s="18">
        <v>5</v>
      </c>
      <c r="V89" s="18">
        <v>60</v>
      </c>
    </row>
    <row r="90" spans="10:22" ht="18" hidden="1" customHeight="1" x14ac:dyDescent="0.25">
      <c r="J90" s="16">
        <v>3307</v>
      </c>
      <c r="K90" s="16" t="s">
        <v>217</v>
      </c>
      <c r="L90" s="16" t="s">
        <v>169</v>
      </c>
      <c r="M90" s="17">
        <v>45424</v>
      </c>
      <c r="N90" s="16" t="s">
        <v>46</v>
      </c>
      <c r="O90" s="18">
        <v>10</v>
      </c>
      <c r="P90" s="16" t="s">
        <v>47</v>
      </c>
      <c r="Q90" s="16" t="s">
        <v>49</v>
      </c>
      <c r="R90" s="18" t="s">
        <v>167</v>
      </c>
      <c r="S90" s="16" t="s">
        <v>46</v>
      </c>
      <c r="T90" s="18">
        <v>20</v>
      </c>
      <c r="U90" s="18">
        <v>10</v>
      </c>
      <c r="V90" s="18">
        <v>20</v>
      </c>
    </row>
    <row r="91" spans="10:22" ht="18" hidden="1" customHeight="1" x14ac:dyDescent="0.25">
      <c r="J91" s="16">
        <v>3308</v>
      </c>
      <c r="K91" s="16" t="s">
        <v>218</v>
      </c>
      <c r="L91" s="16" t="s">
        <v>166</v>
      </c>
      <c r="M91" s="17">
        <v>45425</v>
      </c>
      <c r="N91" s="16" t="s">
        <v>49</v>
      </c>
      <c r="O91" s="18">
        <v>5</v>
      </c>
      <c r="P91" s="16" t="s">
        <v>51</v>
      </c>
      <c r="Q91" s="16" t="s">
        <v>49</v>
      </c>
      <c r="R91" s="18" t="s">
        <v>167</v>
      </c>
      <c r="S91" s="16" t="s">
        <v>49</v>
      </c>
      <c r="T91" s="18">
        <v>0</v>
      </c>
      <c r="U91" s="18">
        <v>0</v>
      </c>
      <c r="V91" s="18">
        <v>5</v>
      </c>
    </row>
    <row r="92" spans="10:22" ht="18" customHeight="1" x14ac:dyDescent="0.25">
      <c r="J92" s="16">
        <v>3309</v>
      </c>
      <c r="K92" s="16" t="s">
        <v>76</v>
      </c>
      <c r="L92" s="16" t="s">
        <v>45</v>
      </c>
      <c r="M92" s="17">
        <v>45426</v>
      </c>
      <c r="N92" s="16" t="s">
        <v>46</v>
      </c>
      <c r="O92" s="18">
        <v>15</v>
      </c>
      <c r="P92" s="16" t="s">
        <v>47</v>
      </c>
      <c r="Q92" s="16" t="s">
        <v>46</v>
      </c>
      <c r="R92" s="18">
        <v>30</v>
      </c>
      <c r="S92" s="16" t="s">
        <v>46</v>
      </c>
      <c r="T92" s="18">
        <v>20</v>
      </c>
      <c r="U92" s="18">
        <v>3</v>
      </c>
      <c r="V92" s="18">
        <v>62</v>
      </c>
    </row>
    <row r="93" spans="10:22" ht="18" hidden="1" customHeight="1" x14ac:dyDescent="0.25">
      <c r="J93" s="16">
        <v>3310</v>
      </c>
      <c r="K93" s="16" t="s">
        <v>219</v>
      </c>
      <c r="L93" s="16" t="s">
        <v>169</v>
      </c>
      <c r="M93" s="17">
        <v>45427</v>
      </c>
      <c r="N93" s="16" t="s">
        <v>49</v>
      </c>
      <c r="O93" s="18">
        <v>10</v>
      </c>
      <c r="P93" s="16" t="s">
        <v>54</v>
      </c>
      <c r="Q93" s="16" t="s">
        <v>49</v>
      </c>
      <c r="R93" s="18" t="s">
        <v>167</v>
      </c>
      <c r="S93" s="16" t="s">
        <v>46</v>
      </c>
      <c r="T93" s="18">
        <v>20</v>
      </c>
      <c r="U93" s="18">
        <v>15</v>
      </c>
      <c r="V93" s="18">
        <v>15</v>
      </c>
    </row>
    <row r="94" spans="10:22" ht="18" hidden="1" customHeight="1" x14ac:dyDescent="0.25">
      <c r="J94" s="16">
        <v>3311</v>
      </c>
      <c r="K94" s="16" t="s">
        <v>220</v>
      </c>
      <c r="L94" s="16" t="s">
        <v>166</v>
      </c>
      <c r="M94" s="17">
        <v>45428</v>
      </c>
      <c r="N94" s="16" t="s">
        <v>46</v>
      </c>
      <c r="O94" s="18">
        <v>5</v>
      </c>
      <c r="P94" s="16" t="s">
        <v>47</v>
      </c>
      <c r="Q94" s="16" t="s">
        <v>49</v>
      </c>
      <c r="R94" s="18" t="s">
        <v>167</v>
      </c>
      <c r="S94" s="16" t="s">
        <v>49</v>
      </c>
      <c r="T94" s="18">
        <v>0</v>
      </c>
      <c r="U94" s="18">
        <v>1</v>
      </c>
      <c r="V94" s="18">
        <v>4</v>
      </c>
    </row>
    <row r="95" spans="10:22" ht="18" hidden="1" customHeight="1" x14ac:dyDescent="0.25">
      <c r="J95" s="16">
        <v>3312</v>
      </c>
      <c r="K95" s="16" t="s">
        <v>77</v>
      </c>
      <c r="L95" s="16" t="s">
        <v>45</v>
      </c>
      <c r="M95" s="17">
        <v>45429</v>
      </c>
      <c r="N95" s="16" t="s">
        <v>49</v>
      </c>
      <c r="O95" s="18">
        <v>15</v>
      </c>
      <c r="P95" s="16" t="s">
        <v>51</v>
      </c>
      <c r="Q95" s="16" t="s">
        <v>46</v>
      </c>
      <c r="R95" s="18">
        <v>30</v>
      </c>
      <c r="S95" s="16" t="s">
        <v>46</v>
      </c>
      <c r="T95" s="18">
        <v>20</v>
      </c>
      <c r="U95" s="18">
        <v>7</v>
      </c>
      <c r="V95" s="18">
        <v>58</v>
      </c>
    </row>
    <row r="96" spans="10:22" ht="18" hidden="1" customHeight="1" x14ac:dyDescent="0.25">
      <c r="J96" s="16">
        <v>3313</v>
      </c>
      <c r="K96" s="16" t="s">
        <v>221</v>
      </c>
      <c r="L96" s="16" t="s">
        <v>169</v>
      </c>
      <c r="M96" s="17">
        <v>45430</v>
      </c>
      <c r="N96" s="16" t="s">
        <v>46</v>
      </c>
      <c r="O96" s="18">
        <v>10</v>
      </c>
      <c r="P96" s="16" t="s">
        <v>47</v>
      </c>
      <c r="Q96" s="16" t="s">
        <v>49</v>
      </c>
      <c r="R96" s="18" t="s">
        <v>167</v>
      </c>
      <c r="S96" s="16" t="s">
        <v>46</v>
      </c>
      <c r="T96" s="18">
        <v>20</v>
      </c>
      <c r="U96" s="18">
        <v>10</v>
      </c>
      <c r="V96" s="18">
        <v>20</v>
      </c>
    </row>
    <row r="97" spans="10:22" ht="18" hidden="1" customHeight="1" x14ac:dyDescent="0.25">
      <c r="J97" s="16">
        <v>3314</v>
      </c>
      <c r="K97" s="16" t="s">
        <v>222</v>
      </c>
      <c r="L97" s="16" t="s">
        <v>166</v>
      </c>
      <c r="M97" s="17">
        <v>45431</v>
      </c>
      <c r="N97" s="16" t="s">
        <v>49</v>
      </c>
      <c r="O97" s="18">
        <v>5</v>
      </c>
      <c r="P97" s="16" t="s">
        <v>54</v>
      </c>
      <c r="Q97" s="16" t="s">
        <v>49</v>
      </c>
      <c r="R97" s="18" t="s">
        <v>167</v>
      </c>
      <c r="S97" s="16" t="s">
        <v>49</v>
      </c>
      <c r="T97" s="18">
        <v>0</v>
      </c>
      <c r="U97" s="18">
        <v>0</v>
      </c>
      <c r="V97" s="18">
        <v>5</v>
      </c>
    </row>
    <row r="98" spans="10:22" ht="18" customHeight="1" x14ac:dyDescent="0.25">
      <c r="J98" s="16">
        <v>3315</v>
      </c>
      <c r="K98" s="16" t="s">
        <v>78</v>
      </c>
      <c r="L98" s="16" t="s">
        <v>45</v>
      </c>
      <c r="M98" s="17">
        <v>45432</v>
      </c>
      <c r="N98" s="16" t="s">
        <v>46</v>
      </c>
      <c r="O98" s="18">
        <v>15</v>
      </c>
      <c r="P98" s="16" t="s">
        <v>47</v>
      </c>
      <c r="Q98" s="16" t="s">
        <v>46</v>
      </c>
      <c r="R98" s="18">
        <v>30</v>
      </c>
      <c r="S98" s="16" t="s">
        <v>46</v>
      </c>
      <c r="T98" s="18">
        <v>20</v>
      </c>
      <c r="U98" s="18">
        <v>20</v>
      </c>
      <c r="V98" s="18">
        <v>45</v>
      </c>
    </row>
    <row r="99" spans="10:22" ht="18" hidden="1" customHeight="1" x14ac:dyDescent="0.25">
      <c r="J99" s="16">
        <v>3316</v>
      </c>
      <c r="K99" s="16" t="s">
        <v>223</v>
      </c>
      <c r="L99" s="16" t="s">
        <v>169</v>
      </c>
      <c r="M99" s="17">
        <v>45433</v>
      </c>
      <c r="N99" s="16" t="s">
        <v>49</v>
      </c>
      <c r="O99" s="18">
        <v>10</v>
      </c>
      <c r="P99" s="16" t="s">
        <v>51</v>
      </c>
      <c r="Q99" s="16" t="s">
        <v>49</v>
      </c>
      <c r="R99" s="18" t="s">
        <v>167</v>
      </c>
      <c r="S99" s="16" t="s">
        <v>46</v>
      </c>
      <c r="T99" s="18">
        <v>20</v>
      </c>
      <c r="U99" s="18">
        <v>15</v>
      </c>
      <c r="V99" s="18">
        <v>15</v>
      </c>
    </row>
    <row r="100" spans="10:22" ht="18" hidden="1" customHeight="1" x14ac:dyDescent="0.25">
      <c r="J100" s="16">
        <v>3317</v>
      </c>
      <c r="K100" s="16" t="s">
        <v>224</v>
      </c>
      <c r="L100" s="16" t="s">
        <v>166</v>
      </c>
      <c r="M100" s="17">
        <v>45434</v>
      </c>
      <c r="N100" s="16" t="s">
        <v>46</v>
      </c>
      <c r="O100" s="18">
        <v>5</v>
      </c>
      <c r="P100" s="16" t="s">
        <v>47</v>
      </c>
      <c r="Q100" s="16" t="s">
        <v>49</v>
      </c>
      <c r="R100" s="18" t="s">
        <v>167</v>
      </c>
      <c r="S100" s="16" t="s">
        <v>49</v>
      </c>
      <c r="T100" s="18">
        <v>0</v>
      </c>
      <c r="U100" s="18">
        <v>1</v>
      </c>
      <c r="V100" s="18">
        <v>4</v>
      </c>
    </row>
    <row r="101" spans="10:22" ht="18" hidden="1" customHeight="1" x14ac:dyDescent="0.25">
      <c r="J101" s="16">
        <v>3318</v>
      </c>
      <c r="K101" s="16" t="s">
        <v>79</v>
      </c>
      <c r="L101" s="16" t="s">
        <v>45</v>
      </c>
      <c r="M101" s="17">
        <v>45435</v>
      </c>
      <c r="N101" s="16" t="s">
        <v>49</v>
      </c>
      <c r="O101" s="18">
        <v>15</v>
      </c>
      <c r="P101" s="16" t="s">
        <v>54</v>
      </c>
      <c r="Q101" s="16" t="s">
        <v>46</v>
      </c>
      <c r="R101" s="18">
        <v>30</v>
      </c>
      <c r="S101" s="16" t="s">
        <v>46</v>
      </c>
      <c r="T101" s="18">
        <v>20</v>
      </c>
      <c r="U101" s="18">
        <v>3</v>
      </c>
      <c r="V101" s="18">
        <v>62</v>
      </c>
    </row>
    <row r="102" spans="10:22" ht="18" hidden="1" customHeight="1" x14ac:dyDescent="0.25">
      <c r="J102" s="16">
        <v>3319</v>
      </c>
      <c r="K102" s="16" t="s">
        <v>225</v>
      </c>
      <c r="L102" s="16" t="s">
        <v>169</v>
      </c>
      <c r="M102" s="17">
        <v>45436</v>
      </c>
      <c r="N102" s="16" t="s">
        <v>46</v>
      </c>
      <c r="O102" s="18">
        <v>10</v>
      </c>
      <c r="P102" s="16" t="s">
        <v>47</v>
      </c>
      <c r="Q102" s="16" t="s">
        <v>49</v>
      </c>
      <c r="R102" s="18" t="s">
        <v>167</v>
      </c>
      <c r="S102" s="16" t="s">
        <v>46</v>
      </c>
      <c r="T102" s="18">
        <v>20</v>
      </c>
      <c r="U102" s="18">
        <v>10</v>
      </c>
      <c r="V102" s="18">
        <v>20</v>
      </c>
    </row>
    <row r="103" spans="10:22" ht="18" hidden="1" customHeight="1" x14ac:dyDescent="0.25">
      <c r="J103" s="16">
        <v>3320</v>
      </c>
      <c r="K103" s="16" t="s">
        <v>226</v>
      </c>
      <c r="L103" s="16" t="s">
        <v>166</v>
      </c>
      <c r="M103" s="17">
        <v>45437</v>
      </c>
      <c r="N103" s="16" t="s">
        <v>49</v>
      </c>
      <c r="O103" s="18">
        <v>5</v>
      </c>
      <c r="P103" s="16" t="s">
        <v>51</v>
      </c>
      <c r="Q103" s="16" t="s">
        <v>49</v>
      </c>
      <c r="R103" s="18" t="s">
        <v>167</v>
      </c>
      <c r="S103" s="16" t="s">
        <v>49</v>
      </c>
      <c r="T103" s="18">
        <v>0</v>
      </c>
      <c r="U103" s="18">
        <v>0</v>
      </c>
      <c r="V103" s="18">
        <v>5</v>
      </c>
    </row>
    <row r="104" spans="10:22" ht="18" customHeight="1" x14ac:dyDescent="0.25">
      <c r="J104" s="16">
        <v>3321</v>
      </c>
      <c r="K104" s="16" t="s">
        <v>80</v>
      </c>
      <c r="L104" s="16" t="s">
        <v>45</v>
      </c>
      <c r="M104" s="17">
        <v>45438</v>
      </c>
      <c r="N104" s="16" t="s">
        <v>46</v>
      </c>
      <c r="O104" s="18">
        <v>15</v>
      </c>
      <c r="P104" s="16" t="s">
        <v>47</v>
      </c>
      <c r="Q104" s="16" t="s">
        <v>46</v>
      </c>
      <c r="R104" s="18">
        <v>30</v>
      </c>
      <c r="S104" s="16" t="s">
        <v>46</v>
      </c>
      <c r="T104" s="18">
        <v>20</v>
      </c>
      <c r="U104" s="18">
        <v>5</v>
      </c>
      <c r="V104" s="18">
        <v>60</v>
      </c>
    </row>
    <row r="105" spans="10:22" ht="18" hidden="1" customHeight="1" x14ac:dyDescent="0.25">
      <c r="J105" s="16">
        <v>3322</v>
      </c>
      <c r="K105" s="16" t="s">
        <v>227</v>
      </c>
      <c r="L105" s="16" t="s">
        <v>169</v>
      </c>
      <c r="M105" s="17">
        <v>45439</v>
      </c>
      <c r="N105" s="16" t="s">
        <v>49</v>
      </c>
      <c r="O105" s="18">
        <v>10</v>
      </c>
      <c r="P105" s="16" t="s">
        <v>54</v>
      </c>
      <c r="Q105" s="16" t="s">
        <v>49</v>
      </c>
      <c r="R105" s="18" t="s">
        <v>167</v>
      </c>
      <c r="S105" s="16" t="s">
        <v>46</v>
      </c>
      <c r="T105" s="18">
        <v>20</v>
      </c>
      <c r="U105" s="18">
        <v>15</v>
      </c>
      <c r="V105" s="18">
        <v>15</v>
      </c>
    </row>
    <row r="106" spans="10:22" ht="18" hidden="1" customHeight="1" x14ac:dyDescent="0.25">
      <c r="J106" s="16">
        <v>3323</v>
      </c>
      <c r="K106" s="16" t="s">
        <v>228</v>
      </c>
      <c r="L106" s="16" t="s">
        <v>166</v>
      </c>
      <c r="M106" s="17">
        <v>45440</v>
      </c>
      <c r="N106" s="16" t="s">
        <v>46</v>
      </c>
      <c r="O106" s="18">
        <v>5</v>
      </c>
      <c r="P106" s="16" t="s">
        <v>47</v>
      </c>
      <c r="Q106" s="16" t="s">
        <v>49</v>
      </c>
      <c r="R106" s="18" t="s">
        <v>167</v>
      </c>
      <c r="S106" s="16" t="s">
        <v>49</v>
      </c>
      <c r="T106" s="18">
        <v>0</v>
      </c>
      <c r="U106" s="18">
        <v>1</v>
      </c>
      <c r="V106" s="18">
        <v>4</v>
      </c>
    </row>
    <row r="107" spans="10:22" ht="18" hidden="1" customHeight="1" x14ac:dyDescent="0.25">
      <c r="J107" s="16">
        <v>3324</v>
      </c>
      <c r="K107" s="16" t="s">
        <v>81</v>
      </c>
      <c r="L107" s="16" t="s">
        <v>45</v>
      </c>
      <c r="M107" s="17">
        <v>45441</v>
      </c>
      <c r="N107" s="16" t="s">
        <v>49</v>
      </c>
      <c r="O107" s="18">
        <v>15</v>
      </c>
      <c r="P107" s="16" t="s">
        <v>51</v>
      </c>
      <c r="Q107" s="16" t="s">
        <v>46</v>
      </c>
      <c r="R107" s="18">
        <v>30</v>
      </c>
      <c r="S107" s="16" t="s">
        <v>46</v>
      </c>
      <c r="T107" s="18">
        <v>20</v>
      </c>
      <c r="U107" s="18">
        <v>20</v>
      </c>
      <c r="V107" s="18">
        <v>45</v>
      </c>
    </row>
    <row r="108" spans="10:22" ht="18" hidden="1" customHeight="1" x14ac:dyDescent="0.25">
      <c r="J108" s="16">
        <v>3325</v>
      </c>
      <c r="K108" s="16" t="s">
        <v>229</v>
      </c>
      <c r="L108" s="16" t="s">
        <v>169</v>
      </c>
      <c r="M108" s="17">
        <v>45442</v>
      </c>
      <c r="N108" s="16" t="s">
        <v>46</v>
      </c>
      <c r="O108" s="18">
        <v>10</v>
      </c>
      <c r="P108" s="16" t="s">
        <v>51</v>
      </c>
      <c r="Q108" s="16" t="s">
        <v>49</v>
      </c>
      <c r="R108" s="18" t="s">
        <v>167</v>
      </c>
      <c r="S108" s="16" t="s">
        <v>46</v>
      </c>
      <c r="T108" s="18">
        <v>20</v>
      </c>
      <c r="U108" s="18">
        <v>15</v>
      </c>
      <c r="V108" s="18">
        <v>15</v>
      </c>
    </row>
    <row r="109" spans="10:22" ht="18" hidden="1" customHeight="1" x14ac:dyDescent="0.25">
      <c r="J109" s="16">
        <v>3326</v>
      </c>
      <c r="K109" s="16" t="s">
        <v>230</v>
      </c>
      <c r="L109" s="16" t="s">
        <v>166</v>
      </c>
      <c r="M109" s="17">
        <v>45443</v>
      </c>
      <c r="N109" s="16" t="s">
        <v>49</v>
      </c>
      <c r="O109" s="18">
        <v>5</v>
      </c>
      <c r="P109" s="16" t="s">
        <v>54</v>
      </c>
      <c r="Q109" s="16" t="s">
        <v>49</v>
      </c>
      <c r="R109" s="18" t="s">
        <v>167</v>
      </c>
      <c r="S109" s="16" t="s">
        <v>49</v>
      </c>
      <c r="T109" s="18">
        <v>0</v>
      </c>
      <c r="U109" s="18">
        <v>0</v>
      </c>
      <c r="V109" s="18">
        <v>5</v>
      </c>
    </row>
    <row r="110" spans="10:22" ht="18" customHeight="1" x14ac:dyDescent="0.25">
      <c r="J110" s="16">
        <v>3327</v>
      </c>
      <c r="K110" s="16" t="s">
        <v>82</v>
      </c>
      <c r="L110" s="16" t="s">
        <v>45</v>
      </c>
      <c r="M110" s="17">
        <v>45444</v>
      </c>
      <c r="N110" s="16" t="s">
        <v>46</v>
      </c>
      <c r="O110" s="18">
        <v>15</v>
      </c>
      <c r="P110" s="16" t="s">
        <v>47</v>
      </c>
      <c r="Q110" s="16" t="s">
        <v>46</v>
      </c>
      <c r="R110" s="18">
        <v>30</v>
      </c>
      <c r="S110" s="16" t="s">
        <v>46</v>
      </c>
      <c r="T110" s="18">
        <v>20</v>
      </c>
      <c r="U110" s="18">
        <v>7</v>
      </c>
      <c r="V110" s="18">
        <v>58</v>
      </c>
    </row>
    <row r="111" spans="10:22" ht="18" hidden="1" customHeight="1" x14ac:dyDescent="0.25">
      <c r="J111" s="16">
        <v>3328</v>
      </c>
      <c r="K111" s="16" t="s">
        <v>231</v>
      </c>
      <c r="L111" s="16" t="s">
        <v>169</v>
      </c>
      <c r="M111" s="17">
        <v>45445</v>
      </c>
      <c r="N111" s="16" t="s">
        <v>49</v>
      </c>
      <c r="O111" s="18">
        <v>10</v>
      </c>
      <c r="P111" s="16" t="s">
        <v>54</v>
      </c>
      <c r="Q111" s="16" t="s">
        <v>49</v>
      </c>
      <c r="R111" s="18" t="s">
        <v>167</v>
      </c>
      <c r="S111" s="16" t="s">
        <v>46</v>
      </c>
      <c r="T111" s="18">
        <v>20</v>
      </c>
      <c r="U111" s="18">
        <v>10</v>
      </c>
      <c r="V111" s="18">
        <v>20</v>
      </c>
    </row>
    <row r="112" spans="10:22" hidden="1" x14ac:dyDescent="0.25">
      <c r="J112" s="16">
        <v>3329</v>
      </c>
      <c r="K112" s="16" t="s">
        <v>232</v>
      </c>
      <c r="L112" s="16" t="s">
        <v>166</v>
      </c>
      <c r="M112" s="17">
        <v>45446</v>
      </c>
      <c r="N112" s="16" t="s">
        <v>46</v>
      </c>
      <c r="O112" s="18">
        <v>5</v>
      </c>
      <c r="P112" s="16" t="s">
        <v>51</v>
      </c>
      <c r="Q112" s="16" t="s">
        <v>49</v>
      </c>
      <c r="R112" s="18" t="s">
        <v>167</v>
      </c>
      <c r="S112" s="16" t="s">
        <v>49</v>
      </c>
      <c r="T112" s="18">
        <v>0</v>
      </c>
      <c r="U112" s="18">
        <v>1</v>
      </c>
      <c r="V112" s="18">
        <v>4</v>
      </c>
    </row>
    <row r="113" spans="10:22" x14ac:dyDescent="0.25">
      <c r="J113" s="16">
        <v>3330</v>
      </c>
      <c r="K113" s="16" t="s">
        <v>83</v>
      </c>
      <c r="L113" s="16" t="s">
        <v>45</v>
      </c>
      <c r="M113" s="17">
        <v>45447</v>
      </c>
      <c r="N113" s="16" t="s">
        <v>49</v>
      </c>
      <c r="O113" s="18">
        <v>15</v>
      </c>
      <c r="P113" s="16" t="s">
        <v>47</v>
      </c>
      <c r="Q113" s="16" t="s">
        <v>46</v>
      </c>
      <c r="R113" s="18">
        <v>30</v>
      </c>
      <c r="S113" s="16" t="s">
        <v>46</v>
      </c>
      <c r="T113" s="18">
        <v>20</v>
      </c>
      <c r="U113" s="18">
        <v>15</v>
      </c>
      <c r="V113" s="18">
        <v>50</v>
      </c>
    </row>
    <row r="114" spans="10:22" hidden="1" x14ac:dyDescent="0.25">
      <c r="J114" s="16">
        <v>3331</v>
      </c>
      <c r="K114" s="16" t="s">
        <v>233</v>
      </c>
      <c r="L114" s="16" t="s">
        <v>169</v>
      </c>
      <c r="M114" s="17">
        <v>45448</v>
      </c>
      <c r="N114" s="16" t="s">
        <v>46</v>
      </c>
      <c r="O114" s="18">
        <v>10</v>
      </c>
      <c r="P114" s="16" t="s">
        <v>47</v>
      </c>
      <c r="Q114" s="16" t="s">
        <v>49</v>
      </c>
      <c r="R114" s="18" t="s">
        <v>167</v>
      </c>
      <c r="S114" s="16" t="s">
        <v>46</v>
      </c>
      <c r="T114" s="18">
        <v>20</v>
      </c>
      <c r="U114" s="18">
        <v>5</v>
      </c>
      <c r="V114" s="18">
        <v>25</v>
      </c>
    </row>
    <row r="115" spans="10:22" hidden="1" x14ac:dyDescent="0.25">
      <c r="J115" s="16">
        <v>3332</v>
      </c>
      <c r="K115" s="16" t="s">
        <v>234</v>
      </c>
      <c r="L115" s="16" t="s">
        <v>166</v>
      </c>
      <c r="M115" s="17">
        <v>45449</v>
      </c>
      <c r="N115" s="16" t="s">
        <v>49</v>
      </c>
      <c r="O115" s="18">
        <v>5</v>
      </c>
      <c r="P115" s="16" t="s">
        <v>54</v>
      </c>
      <c r="Q115" s="16" t="s">
        <v>49</v>
      </c>
      <c r="R115" s="18" t="s">
        <v>167</v>
      </c>
      <c r="S115" s="16" t="s">
        <v>49</v>
      </c>
      <c r="T115" s="18">
        <v>0</v>
      </c>
      <c r="U115" s="18">
        <v>0</v>
      </c>
      <c r="V115" s="18">
        <v>5</v>
      </c>
    </row>
    <row r="116" spans="10:22" hidden="1" x14ac:dyDescent="0.25">
      <c r="J116" s="16">
        <v>3333</v>
      </c>
      <c r="K116" s="16" t="s">
        <v>84</v>
      </c>
      <c r="L116" s="16" t="s">
        <v>45</v>
      </c>
      <c r="M116" s="17">
        <v>45450</v>
      </c>
      <c r="N116" s="16" t="s">
        <v>46</v>
      </c>
      <c r="O116" s="18">
        <v>15</v>
      </c>
      <c r="P116" s="16" t="s">
        <v>51</v>
      </c>
      <c r="Q116" s="16" t="s">
        <v>46</v>
      </c>
      <c r="R116" s="18">
        <v>30</v>
      </c>
      <c r="S116" s="16" t="s">
        <v>46</v>
      </c>
      <c r="T116" s="18">
        <v>20</v>
      </c>
      <c r="U116" s="18">
        <v>20</v>
      </c>
      <c r="V116" s="18">
        <v>45</v>
      </c>
    </row>
    <row r="117" spans="10:22" hidden="1" x14ac:dyDescent="0.25">
      <c r="J117" s="16">
        <v>3334</v>
      </c>
      <c r="K117" s="16" t="s">
        <v>235</v>
      </c>
      <c r="L117" s="16" t="s">
        <v>169</v>
      </c>
      <c r="M117" s="17">
        <v>45451</v>
      </c>
      <c r="N117" s="16" t="s">
        <v>49</v>
      </c>
      <c r="O117" s="18">
        <v>10</v>
      </c>
      <c r="P117" s="16" t="s">
        <v>51</v>
      </c>
      <c r="Q117" s="16" t="s">
        <v>49</v>
      </c>
      <c r="R117" s="18" t="s">
        <v>167</v>
      </c>
      <c r="S117" s="16" t="s">
        <v>46</v>
      </c>
      <c r="T117" s="18">
        <v>20</v>
      </c>
      <c r="U117" s="18">
        <v>12</v>
      </c>
      <c r="V117" s="18">
        <v>18</v>
      </c>
    </row>
    <row r="118" spans="10:22" hidden="1" x14ac:dyDescent="0.25">
      <c r="J118" s="16">
        <v>3335</v>
      </c>
      <c r="K118" s="16" t="s">
        <v>236</v>
      </c>
      <c r="L118" s="16" t="s">
        <v>166</v>
      </c>
      <c r="M118" s="17">
        <v>45452</v>
      </c>
      <c r="N118" s="16" t="s">
        <v>46</v>
      </c>
      <c r="O118" s="18">
        <v>5</v>
      </c>
      <c r="P118" s="16" t="s">
        <v>47</v>
      </c>
      <c r="Q118" s="16" t="s">
        <v>49</v>
      </c>
      <c r="R118" s="18" t="s">
        <v>167</v>
      </c>
      <c r="S118" s="16" t="s">
        <v>49</v>
      </c>
      <c r="T118" s="18">
        <v>0</v>
      </c>
      <c r="U118" s="18">
        <v>2</v>
      </c>
      <c r="V118" s="18">
        <v>3</v>
      </c>
    </row>
    <row r="119" spans="10:22" hidden="1" x14ac:dyDescent="0.25">
      <c r="J119" s="16">
        <v>3336</v>
      </c>
      <c r="K119" s="16" t="s">
        <v>237</v>
      </c>
      <c r="L119" s="16" t="s">
        <v>166</v>
      </c>
      <c r="M119" s="17">
        <v>45453</v>
      </c>
      <c r="N119" s="16" t="s">
        <v>46</v>
      </c>
      <c r="O119" s="18">
        <v>5</v>
      </c>
      <c r="P119" s="16" t="s">
        <v>47</v>
      </c>
      <c r="Q119" s="16" t="s">
        <v>49</v>
      </c>
      <c r="R119" s="18" t="s">
        <v>167</v>
      </c>
      <c r="S119" s="16" t="s">
        <v>49</v>
      </c>
      <c r="T119" s="18">
        <v>0</v>
      </c>
      <c r="U119" s="18">
        <v>0</v>
      </c>
      <c r="V119" s="18">
        <v>5</v>
      </c>
    </row>
    <row r="120" spans="10:22" hidden="1" x14ac:dyDescent="0.25">
      <c r="J120" s="16">
        <v>3337</v>
      </c>
      <c r="K120" s="16" t="s">
        <v>85</v>
      </c>
      <c r="L120" s="16" t="s">
        <v>45</v>
      </c>
      <c r="M120" s="17">
        <v>45454</v>
      </c>
      <c r="N120" s="16" t="s">
        <v>49</v>
      </c>
      <c r="O120" s="18">
        <v>15</v>
      </c>
      <c r="P120" s="16" t="s">
        <v>51</v>
      </c>
      <c r="Q120" s="16" t="s">
        <v>46</v>
      </c>
      <c r="R120" s="18">
        <v>30</v>
      </c>
      <c r="S120" s="16" t="s">
        <v>46</v>
      </c>
      <c r="T120" s="18">
        <v>20</v>
      </c>
      <c r="U120" s="18">
        <v>7</v>
      </c>
      <c r="V120" s="18">
        <v>58</v>
      </c>
    </row>
    <row r="121" spans="10:22" hidden="1" x14ac:dyDescent="0.25">
      <c r="J121" s="16">
        <v>3338</v>
      </c>
      <c r="K121" s="16" t="s">
        <v>238</v>
      </c>
      <c r="L121" s="16" t="s">
        <v>169</v>
      </c>
      <c r="M121" s="17">
        <v>45455</v>
      </c>
      <c r="N121" s="16" t="s">
        <v>46</v>
      </c>
      <c r="O121" s="18">
        <v>10</v>
      </c>
      <c r="P121" s="16" t="s">
        <v>54</v>
      </c>
      <c r="Q121" s="16" t="s">
        <v>49</v>
      </c>
      <c r="R121" s="18" t="s">
        <v>167</v>
      </c>
      <c r="S121" s="16" t="s">
        <v>46</v>
      </c>
      <c r="T121" s="18">
        <v>20</v>
      </c>
      <c r="U121" s="18">
        <v>10</v>
      </c>
      <c r="V121" s="18">
        <v>20</v>
      </c>
    </row>
    <row r="122" spans="10:22" hidden="1" x14ac:dyDescent="0.25">
      <c r="J122" s="16">
        <v>3339</v>
      </c>
      <c r="K122" s="16" t="s">
        <v>239</v>
      </c>
      <c r="L122" s="16" t="s">
        <v>166</v>
      </c>
      <c r="M122" s="17">
        <v>45456</v>
      </c>
      <c r="N122" s="16" t="s">
        <v>49</v>
      </c>
      <c r="O122" s="18">
        <v>5</v>
      </c>
      <c r="P122" s="16" t="s">
        <v>51</v>
      </c>
      <c r="Q122" s="16" t="s">
        <v>49</v>
      </c>
      <c r="R122" s="18" t="s">
        <v>167</v>
      </c>
      <c r="S122" s="16" t="s">
        <v>49</v>
      </c>
      <c r="T122" s="18">
        <v>0</v>
      </c>
      <c r="U122" s="18">
        <v>1</v>
      </c>
      <c r="V122" s="18">
        <v>4</v>
      </c>
    </row>
    <row r="123" spans="10:22" x14ac:dyDescent="0.25">
      <c r="J123" s="16">
        <v>3340</v>
      </c>
      <c r="K123" s="16" t="s">
        <v>86</v>
      </c>
      <c r="L123" s="16" t="s">
        <v>45</v>
      </c>
      <c r="M123" s="17">
        <v>45457</v>
      </c>
      <c r="N123" s="16" t="s">
        <v>46</v>
      </c>
      <c r="O123" s="18">
        <v>15</v>
      </c>
      <c r="P123" s="16" t="s">
        <v>47</v>
      </c>
      <c r="Q123" s="16" t="s">
        <v>46</v>
      </c>
      <c r="R123" s="18">
        <v>30</v>
      </c>
      <c r="S123" s="16" t="s">
        <v>46</v>
      </c>
      <c r="T123" s="18">
        <v>20</v>
      </c>
      <c r="U123" s="18">
        <v>15</v>
      </c>
      <c r="V123" s="18">
        <v>50</v>
      </c>
    </row>
    <row r="124" spans="10:22" hidden="1" x14ac:dyDescent="0.25">
      <c r="J124" s="16">
        <v>3341</v>
      </c>
      <c r="K124" s="16" t="s">
        <v>240</v>
      </c>
      <c r="L124" s="16" t="s">
        <v>169</v>
      </c>
      <c r="M124" s="17">
        <v>45458</v>
      </c>
      <c r="N124" s="16" t="s">
        <v>49</v>
      </c>
      <c r="O124" s="18">
        <v>10</v>
      </c>
      <c r="P124" s="16" t="s">
        <v>47</v>
      </c>
      <c r="Q124" s="16" t="s">
        <v>49</v>
      </c>
      <c r="R124" s="18" t="s">
        <v>167</v>
      </c>
      <c r="S124" s="16" t="s">
        <v>46</v>
      </c>
      <c r="T124" s="18">
        <v>20</v>
      </c>
      <c r="U124" s="18">
        <v>5</v>
      </c>
      <c r="V124" s="18">
        <v>25</v>
      </c>
    </row>
    <row r="125" spans="10:22" hidden="1" x14ac:dyDescent="0.25">
      <c r="J125" s="16">
        <v>3342</v>
      </c>
      <c r="K125" s="16" t="s">
        <v>241</v>
      </c>
      <c r="L125" s="16" t="s">
        <v>166</v>
      </c>
      <c r="M125" s="17">
        <v>45459</v>
      </c>
      <c r="N125" s="16" t="s">
        <v>46</v>
      </c>
      <c r="O125" s="18">
        <v>5</v>
      </c>
      <c r="P125" s="16" t="s">
        <v>54</v>
      </c>
      <c r="Q125" s="16" t="s">
        <v>49</v>
      </c>
      <c r="R125" s="18" t="s">
        <v>167</v>
      </c>
      <c r="S125" s="16" t="s">
        <v>49</v>
      </c>
      <c r="T125" s="18">
        <v>0</v>
      </c>
      <c r="U125" s="18">
        <v>0</v>
      </c>
      <c r="V125" s="18">
        <v>5</v>
      </c>
    </row>
    <row r="126" spans="10:22" hidden="1" x14ac:dyDescent="0.25">
      <c r="J126" s="16">
        <v>3343</v>
      </c>
      <c r="K126" s="16" t="s">
        <v>87</v>
      </c>
      <c r="L126" s="16" t="s">
        <v>45</v>
      </c>
      <c r="M126" s="17">
        <v>45460</v>
      </c>
      <c r="N126" s="16" t="s">
        <v>49</v>
      </c>
      <c r="O126" s="18">
        <v>15</v>
      </c>
      <c r="P126" s="16" t="s">
        <v>51</v>
      </c>
      <c r="Q126" s="16" t="s">
        <v>46</v>
      </c>
      <c r="R126" s="18">
        <v>30</v>
      </c>
      <c r="S126" s="16" t="s">
        <v>46</v>
      </c>
      <c r="T126" s="18">
        <v>20</v>
      </c>
      <c r="U126" s="18">
        <v>20</v>
      </c>
      <c r="V126" s="18">
        <v>45</v>
      </c>
    </row>
    <row r="127" spans="10:22" hidden="1" x14ac:dyDescent="0.25">
      <c r="J127" s="16">
        <v>3344</v>
      </c>
      <c r="K127" s="16" t="s">
        <v>242</v>
      </c>
      <c r="L127" s="16" t="s">
        <v>169</v>
      </c>
      <c r="M127" s="17">
        <v>45461</v>
      </c>
      <c r="N127" s="16" t="s">
        <v>46</v>
      </c>
      <c r="O127" s="18">
        <v>10</v>
      </c>
      <c r="P127" s="16" t="s">
        <v>51</v>
      </c>
      <c r="Q127" s="16" t="s">
        <v>49</v>
      </c>
      <c r="R127" s="18" t="s">
        <v>167</v>
      </c>
      <c r="S127" s="16" t="s">
        <v>46</v>
      </c>
      <c r="T127" s="18">
        <v>20</v>
      </c>
      <c r="U127" s="18">
        <v>12</v>
      </c>
      <c r="V127" s="18">
        <v>18</v>
      </c>
    </row>
    <row r="128" spans="10:22" hidden="1" x14ac:dyDescent="0.25">
      <c r="J128" s="16">
        <v>3345</v>
      </c>
      <c r="K128" s="16" t="s">
        <v>243</v>
      </c>
      <c r="L128" s="16" t="s">
        <v>166</v>
      </c>
      <c r="M128" s="17">
        <v>45462</v>
      </c>
      <c r="N128" s="16" t="s">
        <v>49</v>
      </c>
      <c r="O128" s="18">
        <v>5</v>
      </c>
      <c r="P128" s="16" t="s">
        <v>47</v>
      </c>
      <c r="Q128" s="16" t="s">
        <v>49</v>
      </c>
      <c r="R128" s="18" t="s">
        <v>167</v>
      </c>
      <c r="S128" s="16" t="s">
        <v>49</v>
      </c>
      <c r="T128" s="18">
        <v>0</v>
      </c>
      <c r="U128" s="18">
        <v>2</v>
      </c>
      <c r="V128" s="18">
        <v>3</v>
      </c>
    </row>
    <row r="129" spans="10:22" hidden="1" x14ac:dyDescent="0.25">
      <c r="J129" s="16">
        <v>3346</v>
      </c>
      <c r="K129" s="16" t="s">
        <v>88</v>
      </c>
      <c r="L129" s="16" t="s">
        <v>45</v>
      </c>
      <c r="M129" s="17">
        <v>45463</v>
      </c>
      <c r="N129" s="16" t="s">
        <v>46</v>
      </c>
      <c r="O129" s="18">
        <v>15</v>
      </c>
      <c r="P129" s="16" t="s">
        <v>54</v>
      </c>
      <c r="Q129" s="16" t="s">
        <v>46</v>
      </c>
      <c r="R129" s="18">
        <v>30</v>
      </c>
      <c r="S129" s="16" t="s">
        <v>46</v>
      </c>
      <c r="T129" s="18">
        <v>20</v>
      </c>
      <c r="U129" s="18">
        <v>5</v>
      </c>
      <c r="V129" s="18">
        <v>60</v>
      </c>
    </row>
    <row r="130" spans="10:22" hidden="1" x14ac:dyDescent="0.25">
      <c r="J130" s="16">
        <v>3347</v>
      </c>
      <c r="K130" s="16" t="s">
        <v>244</v>
      </c>
      <c r="L130" s="16" t="s">
        <v>169</v>
      </c>
      <c r="M130" s="17">
        <v>45464</v>
      </c>
      <c r="N130" s="16" t="s">
        <v>49</v>
      </c>
      <c r="O130" s="18">
        <v>10</v>
      </c>
      <c r="P130" s="16" t="s">
        <v>47</v>
      </c>
      <c r="Q130" s="16" t="s">
        <v>49</v>
      </c>
      <c r="R130" s="18" t="s">
        <v>167</v>
      </c>
      <c r="S130" s="16" t="s">
        <v>46</v>
      </c>
      <c r="T130" s="18">
        <v>20</v>
      </c>
      <c r="U130" s="18">
        <v>10</v>
      </c>
      <c r="V130" s="18">
        <v>20</v>
      </c>
    </row>
    <row r="131" spans="10:22" hidden="1" x14ac:dyDescent="0.25">
      <c r="J131" s="16">
        <v>3348</v>
      </c>
      <c r="K131" s="16" t="s">
        <v>245</v>
      </c>
      <c r="L131" s="16" t="s">
        <v>166</v>
      </c>
      <c r="M131" s="17">
        <v>45465</v>
      </c>
      <c r="N131" s="16" t="s">
        <v>46</v>
      </c>
      <c r="O131" s="18">
        <v>5</v>
      </c>
      <c r="P131" s="16" t="s">
        <v>51</v>
      </c>
      <c r="Q131" s="16" t="s">
        <v>49</v>
      </c>
      <c r="R131" s="18" t="s">
        <v>167</v>
      </c>
      <c r="S131" s="16" t="s">
        <v>49</v>
      </c>
      <c r="T131" s="18">
        <v>0</v>
      </c>
      <c r="U131" s="18">
        <v>0</v>
      </c>
      <c r="V131" s="18">
        <v>5</v>
      </c>
    </row>
    <row r="132" spans="10:22" x14ac:dyDescent="0.25">
      <c r="J132" s="16">
        <v>3349</v>
      </c>
      <c r="K132" s="16" t="s">
        <v>81</v>
      </c>
      <c r="L132" s="16" t="s">
        <v>45</v>
      </c>
      <c r="M132" s="17">
        <v>45466</v>
      </c>
      <c r="N132" s="16" t="s">
        <v>49</v>
      </c>
      <c r="O132" s="18">
        <v>15</v>
      </c>
      <c r="P132" s="16" t="s">
        <v>47</v>
      </c>
      <c r="Q132" s="16" t="s">
        <v>46</v>
      </c>
      <c r="R132" s="18">
        <v>30</v>
      </c>
      <c r="S132" s="16" t="s">
        <v>46</v>
      </c>
      <c r="T132" s="18">
        <v>20</v>
      </c>
      <c r="U132" s="18">
        <v>3</v>
      </c>
      <c r="V132" s="18">
        <v>62</v>
      </c>
    </row>
    <row r="133" spans="10:22" hidden="1" x14ac:dyDescent="0.25">
      <c r="J133" s="16">
        <v>3350</v>
      </c>
      <c r="K133" s="16" t="s">
        <v>246</v>
      </c>
      <c r="L133" s="16" t="s">
        <v>169</v>
      </c>
      <c r="M133" s="17">
        <v>45467</v>
      </c>
      <c r="N133" s="16" t="s">
        <v>46</v>
      </c>
      <c r="O133" s="18">
        <v>10</v>
      </c>
      <c r="P133" s="16" t="s">
        <v>54</v>
      </c>
      <c r="Q133" s="16" t="s">
        <v>49</v>
      </c>
      <c r="R133" s="18" t="s">
        <v>167</v>
      </c>
      <c r="S133" s="16" t="s">
        <v>46</v>
      </c>
      <c r="T133" s="18">
        <v>20</v>
      </c>
      <c r="U133" s="18">
        <v>15</v>
      </c>
      <c r="V133" s="18">
        <v>15</v>
      </c>
    </row>
    <row r="134" spans="10:22" hidden="1" x14ac:dyDescent="0.25">
      <c r="J134" s="16">
        <v>3351</v>
      </c>
      <c r="K134" s="16" t="s">
        <v>247</v>
      </c>
      <c r="L134" s="16" t="s">
        <v>166</v>
      </c>
      <c r="M134" s="17">
        <v>45468</v>
      </c>
      <c r="N134" s="16" t="s">
        <v>49</v>
      </c>
      <c r="O134" s="18">
        <v>5</v>
      </c>
      <c r="P134" s="16" t="s">
        <v>47</v>
      </c>
      <c r="Q134" s="16" t="s">
        <v>49</v>
      </c>
      <c r="R134" s="18" t="s">
        <v>167</v>
      </c>
      <c r="S134" s="16" t="s">
        <v>49</v>
      </c>
      <c r="T134" s="18">
        <v>0</v>
      </c>
      <c r="U134" s="18">
        <v>1</v>
      </c>
      <c r="V134" s="18">
        <v>4</v>
      </c>
    </row>
    <row r="135" spans="10:22" hidden="1" x14ac:dyDescent="0.25">
      <c r="J135" s="16">
        <v>3352</v>
      </c>
      <c r="K135" s="16" t="s">
        <v>89</v>
      </c>
      <c r="L135" s="16" t="s">
        <v>45</v>
      </c>
      <c r="M135" s="17">
        <v>45469</v>
      </c>
      <c r="N135" s="16" t="s">
        <v>46</v>
      </c>
      <c r="O135" s="18">
        <v>15</v>
      </c>
      <c r="P135" s="16" t="s">
        <v>51</v>
      </c>
      <c r="Q135" s="16" t="s">
        <v>46</v>
      </c>
      <c r="R135" s="18">
        <v>30</v>
      </c>
      <c r="S135" s="16" t="s">
        <v>46</v>
      </c>
      <c r="T135" s="18">
        <v>20</v>
      </c>
      <c r="U135" s="18">
        <v>7</v>
      </c>
      <c r="V135" s="18">
        <v>58</v>
      </c>
    </row>
    <row r="136" spans="10:22" hidden="1" x14ac:dyDescent="0.25">
      <c r="J136" s="16">
        <v>3353</v>
      </c>
      <c r="K136" s="16" t="s">
        <v>248</v>
      </c>
      <c r="L136" s="16" t="s">
        <v>169</v>
      </c>
      <c r="M136" s="17">
        <v>45470</v>
      </c>
      <c r="N136" s="16" t="s">
        <v>49</v>
      </c>
      <c r="O136" s="18">
        <v>10</v>
      </c>
      <c r="P136" s="16" t="s">
        <v>47</v>
      </c>
      <c r="Q136" s="16" t="s">
        <v>49</v>
      </c>
      <c r="R136" s="18" t="s">
        <v>167</v>
      </c>
      <c r="S136" s="16" t="s">
        <v>46</v>
      </c>
      <c r="T136" s="18">
        <v>20</v>
      </c>
      <c r="U136" s="18">
        <v>10</v>
      </c>
      <c r="V136" s="18">
        <v>20</v>
      </c>
    </row>
    <row r="137" spans="10:22" hidden="1" x14ac:dyDescent="0.25">
      <c r="J137" s="16">
        <v>3354</v>
      </c>
      <c r="K137" s="16" t="s">
        <v>249</v>
      </c>
      <c r="L137" s="16" t="s">
        <v>166</v>
      </c>
      <c r="M137" s="17">
        <v>45471</v>
      </c>
      <c r="N137" s="16" t="s">
        <v>46</v>
      </c>
      <c r="O137" s="18">
        <v>5</v>
      </c>
      <c r="P137" s="16" t="s">
        <v>54</v>
      </c>
      <c r="Q137" s="16" t="s">
        <v>49</v>
      </c>
      <c r="R137" s="18" t="s">
        <v>167</v>
      </c>
      <c r="S137" s="16" t="s">
        <v>49</v>
      </c>
      <c r="T137" s="18">
        <v>0</v>
      </c>
      <c r="U137" s="18">
        <v>0</v>
      </c>
      <c r="V137" s="18">
        <v>5</v>
      </c>
    </row>
    <row r="138" spans="10:22" x14ac:dyDescent="0.25">
      <c r="J138" s="16">
        <v>3355</v>
      </c>
      <c r="K138" s="16" t="s">
        <v>90</v>
      </c>
      <c r="L138" s="16" t="s">
        <v>45</v>
      </c>
      <c r="M138" s="17">
        <v>45472</v>
      </c>
      <c r="N138" s="16" t="s">
        <v>49</v>
      </c>
      <c r="O138" s="18">
        <v>15</v>
      </c>
      <c r="P138" s="16" t="s">
        <v>47</v>
      </c>
      <c r="Q138" s="16" t="s">
        <v>46</v>
      </c>
      <c r="R138" s="18">
        <v>30</v>
      </c>
      <c r="S138" s="16" t="s">
        <v>46</v>
      </c>
      <c r="T138" s="18">
        <v>20</v>
      </c>
      <c r="U138" s="18">
        <v>20</v>
      </c>
      <c r="V138" s="18">
        <v>45</v>
      </c>
    </row>
    <row r="139" spans="10:22" hidden="1" x14ac:dyDescent="0.25">
      <c r="J139" s="16">
        <v>3356</v>
      </c>
      <c r="K139" s="16" t="s">
        <v>250</v>
      </c>
      <c r="L139" s="16" t="s">
        <v>169</v>
      </c>
      <c r="M139" s="17">
        <v>45473</v>
      </c>
      <c r="N139" s="16" t="s">
        <v>46</v>
      </c>
      <c r="O139" s="18">
        <v>10</v>
      </c>
      <c r="P139" s="16" t="s">
        <v>51</v>
      </c>
      <c r="Q139" s="16" t="s">
        <v>49</v>
      </c>
      <c r="R139" s="18" t="s">
        <v>167</v>
      </c>
      <c r="S139" s="16" t="s">
        <v>46</v>
      </c>
      <c r="T139" s="18">
        <v>20</v>
      </c>
      <c r="U139" s="18">
        <v>15</v>
      </c>
      <c r="V139" s="18">
        <v>15</v>
      </c>
    </row>
    <row r="140" spans="10:22" hidden="1" x14ac:dyDescent="0.25">
      <c r="J140" s="16">
        <v>3357</v>
      </c>
      <c r="K140" s="16" t="s">
        <v>251</v>
      </c>
      <c r="L140" s="16" t="s">
        <v>166</v>
      </c>
      <c r="M140" s="17">
        <v>45474</v>
      </c>
      <c r="N140" s="16" t="s">
        <v>49</v>
      </c>
      <c r="O140" s="18">
        <v>5</v>
      </c>
      <c r="P140" s="16" t="s">
        <v>47</v>
      </c>
      <c r="Q140" s="16" t="s">
        <v>49</v>
      </c>
      <c r="R140" s="18" t="s">
        <v>167</v>
      </c>
      <c r="S140" s="16" t="s">
        <v>49</v>
      </c>
      <c r="T140" s="18">
        <v>0</v>
      </c>
      <c r="U140" s="18">
        <v>1</v>
      </c>
      <c r="V140" s="18">
        <v>4</v>
      </c>
    </row>
    <row r="141" spans="10:22" hidden="1" x14ac:dyDescent="0.25">
      <c r="J141" s="16">
        <v>3358</v>
      </c>
      <c r="K141" s="16" t="s">
        <v>91</v>
      </c>
      <c r="L141" s="16" t="s">
        <v>45</v>
      </c>
      <c r="M141" s="17">
        <v>45475</v>
      </c>
      <c r="N141" s="16" t="s">
        <v>46</v>
      </c>
      <c r="O141" s="18">
        <v>15</v>
      </c>
      <c r="P141" s="16" t="s">
        <v>54</v>
      </c>
      <c r="Q141" s="16" t="s">
        <v>46</v>
      </c>
      <c r="R141" s="18">
        <v>30</v>
      </c>
      <c r="S141" s="16" t="s">
        <v>46</v>
      </c>
      <c r="T141" s="18">
        <v>20</v>
      </c>
      <c r="U141" s="18">
        <v>3</v>
      </c>
      <c r="V141" s="18">
        <v>62</v>
      </c>
    </row>
    <row r="142" spans="10:22" hidden="1" x14ac:dyDescent="0.25">
      <c r="J142" s="16">
        <v>3359</v>
      </c>
      <c r="K142" s="16" t="s">
        <v>252</v>
      </c>
      <c r="L142" s="16" t="s">
        <v>169</v>
      </c>
      <c r="M142" s="17">
        <v>45476</v>
      </c>
      <c r="N142" s="16" t="s">
        <v>49</v>
      </c>
      <c r="O142" s="18">
        <v>10</v>
      </c>
      <c r="P142" s="16" t="s">
        <v>47</v>
      </c>
      <c r="Q142" s="16" t="s">
        <v>49</v>
      </c>
      <c r="R142" s="18" t="s">
        <v>167</v>
      </c>
      <c r="S142" s="16" t="s">
        <v>46</v>
      </c>
      <c r="T142" s="18">
        <v>20</v>
      </c>
      <c r="U142" s="18">
        <v>10</v>
      </c>
      <c r="V142" s="18">
        <v>20</v>
      </c>
    </row>
    <row r="143" spans="10:22" hidden="1" x14ac:dyDescent="0.25">
      <c r="J143" s="16">
        <v>3360</v>
      </c>
      <c r="K143" s="16" t="s">
        <v>253</v>
      </c>
      <c r="L143" s="16" t="s">
        <v>166</v>
      </c>
      <c r="M143" s="17">
        <v>45477</v>
      </c>
      <c r="N143" s="16" t="s">
        <v>46</v>
      </c>
      <c r="O143" s="18">
        <v>5</v>
      </c>
      <c r="P143" s="16" t="s">
        <v>51</v>
      </c>
      <c r="Q143" s="16" t="s">
        <v>49</v>
      </c>
      <c r="R143" s="18" t="s">
        <v>167</v>
      </c>
      <c r="S143" s="16" t="s">
        <v>49</v>
      </c>
      <c r="T143" s="18">
        <v>0</v>
      </c>
      <c r="U143" s="18">
        <v>0</v>
      </c>
      <c r="V143" s="18">
        <v>5</v>
      </c>
    </row>
    <row r="144" spans="10:22" x14ac:dyDescent="0.25">
      <c r="J144" s="16">
        <v>3361</v>
      </c>
      <c r="K144" s="16" t="s">
        <v>92</v>
      </c>
      <c r="L144" s="16" t="s">
        <v>45</v>
      </c>
      <c r="M144" s="17">
        <v>45478</v>
      </c>
      <c r="N144" s="16" t="s">
        <v>49</v>
      </c>
      <c r="O144" s="18">
        <v>15</v>
      </c>
      <c r="P144" s="16" t="s">
        <v>47</v>
      </c>
      <c r="Q144" s="16" t="s">
        <v>46</v>
      </c>
      <c r="R144" s="18">
        <v>30</v>
      </c>
      <c r="S144" s="16" t="s">
        <v>46</v>
      </c>
      <c r="T144" s="18">
        <v>20</v>
      </c>
      <c r="U144" s="18">
        <v>15</v>
      </c>
      <c r="V144" s="18">
        <v>50</v>
      </c>
    </row>
    <row r="145" spans="10:22" hidden="1" x14ac:dyDescent="0.25">
      <c r="J145" s="16">
        <v>3362</v>
      </c>
      <c r="K145" s="16" t="s">
        <v>254</v>
      </c>
      <c r="L145" s="16" t="s">
        <v>169</v>
      </c>
      <c r="M145" s="17">
        <v>45479</v>
      </c>
      <c r="N145" s="16" t="s">
        <v>46</v>
      </c>
      <c r="O145" s="18">
        <v>10</v>
      </c>
      <c r="P145" s="16" t="s">
        <v>54</v>
      </c>
      <c r="Q145" s="16" t="s">
        <v>49</v>
      </c>
      <c r="R145" s="18" t="s">
        <v>167</v>
      </c>
      <c r="S145" s="16" t="s">
        <v>46</v>
      </c>
      <c r="T145" s="18">
        <v>20</v>
      </c>
      <c r="U145" s="18">
        <v>15</v>
      </c>
      <c r="V145" s="18">
        <v>15</v>
      </c>
    </row>
    <row r="146" spans="10:22" hidden="1" x14ac:dyDescent="0.25">
      <c r="J146" s="16">
        <v>3363</v>
      </c>
      <c r="K146" s="16" t="s">
        <v>255</v>
      </c>
      <c r="L146" s="16" t="s">
        <v>166</v>
      </c>
      <c r="M146" s="17">
        <v>45480</v>
      </c>
      <c r="N146" s="16" t="s">
        <v>49</v>
      </c>
      <c r="O146" s="18">
        <v>5</v>
      </c>
      <c r="P146" s="16" t="s">
        <v>47</v>
      </c>
      <c r="Q146" s="16" t="s">
        <v>49</v>
      </c>
      <c r="R146" s="18" t="s">
        <v>167</v>
      </c>
      <c r="S146" s="16" t="s">
        <v>49</v>
      </c>
      <c r="T146" s="18">
        <v>0</v>
      </c>
      <c r="U146" s="18">
        <v>1</v>
      </c>
      <c r="V146" s="18">
        <v>4</v>
      </c>
    </row>
    <row r="147" spans="10:22" hidden="1" x14ac:dyDescent="0.25">
      <c r="J147" s="16">
        <v>3364</v>
      </c>
      <c r="K147" s="16" t="s">
        <v>93</v>
      </c>
      <c r="L147" s="16" t="s">
        <v>45</v>
      </c>
      <c r="M147" s="17">
        <v>45481</v>
      </c>
      <c r="N147" s="16" t="s">
        <v>46</v>
      </c>
      <c r="O147" s="18">
        <v>15</v>
      </c>
      <c r="P147" s="16" t="s">
        <v>51</v>
      </c>
      <c r="Q147" s="16" t="s">
        <v>46</v>
      </c>
      <c r="R147" s="18">
        <v>30</v>
      </c>
      <c r="S147" s="16" t="s">
        <v>46</v>
      </c>
      <c r="T147" s="18">
        <v>20</v>
      </c>
      <c r="U147" s="18">
        <v>7</v>
      </c>
      <c r="V147" s="18">
        <v>58</v>
      </c>
    </row>
    <row r="148" spans="10:22" hidden="1" x14ac:dyDescent="0.25">
      <c r="J148" s="16">
        <v>3365</v>
      </c>
      <c r="K148" s="16" t="s">
        <v>256</v>
      </c>
      <c r="L148" s="16" t="s">
        <v>169</v>
      </c>
      <c r="M148" s="17">
        <v>45482</v>
      </c>
      <c r="N148" s="16" t="s">
        <v>49</v>
      </c>
      <c r="O148" s="18">
        <v>10</v>
      </c>
      <c r="P148" s="16" t="s">
        <v>47</v>
      </c>
      <c r="Q148" s="16" t="s">
        <v>49</v>
      </c>
      <c r="R148" s="18" t="s">
        <v>167</v>
      </c>
      <c r="S148" s="16" t="s">
        <v>46</v>
      </c>
      <c r="T148" s="18">
        <v>20</v>
      </c>
      <c r="U148" s="18">
        <v>10</v>
      </c>
      <c r="V148" s="18">
        <v>20</v>
      </c>
    </row>
    <row r="149" spans="10:22" hidden="1" x14ac:dyDescent="0.25">
      <c r="J149" s="16">
        <v>3366</v>
      </c>
      <c r="K149" s="16" t="s">
        <v>257</v>
      </c>
      <c r="L149" s="16" t="s">
        <v>166</v>
      </c>
      <c r="M149" s="17">
        <v>45483</v>
      </c>
      <c r="N149" s="16" t="s">
        <v>46</v>
      </c>
      <c r="O149" s="18">
        <v>5</v>
      </c>
      <c r="P149" s="16" t="s">
        <v>47</v>
      </c>
      <c r="Q149" s="16" t="s">
        <v>49</v>
      </c>
      <c r="R149" s="18" t="s">
        <v>167</v>
      </c>
      <c r="S149" s="16" t="s">
        <v>49</v>
      </c>
      <c r="T149" s="18">
        <v>0</v>
      </c>
      <c r="U149" s="18">
        <v>0</v>
      </c>
      <c r="V149" s="18">
        <v>5</v>
      </c>
    </row>
    <row r="150" spans="10:22" hidden="1" x14ac:dyDescent="0.25">
      <c r="J150" s="16">
        <v>3367</v>
      </c>
      <c r="K150" s="16" t="s">
        <v>94</v>
      </c>
      <c r="L150" s="16" t="s">
        <v>45</v>
      </c>
      <c r="M150" s="17">
        <v>45484</v>
      </c>
      <c r="N150" s="16" t="s">
        <v>49</v>
      </c>
      <c r="O150" s="18">
        <v>15</v>
      </c>
      <c r="P150" s="16" t="s">
        <v>51</v>
      </c>
      <c r="Q150" s="16" t="s">
        <v>46</v>
      </c>
      <c r="R150" s="18">
        <v>30</v>
      </c>
      <c r="S150" s="16" t="s">
        <v>46</v>
      </c>
      <c r="T150" s="18">
        <v>20</v>
      </c>
      <c r="U150" s="18">
        <v>7</v>
      </c>
      <c r="V150" s="18">
        <v>58</v>
      </c>
    </row>
    <row r="151" spans="10:22" hidden="1" x14ac:dyDescent="0.25">
      <c r="J151" s="16">
        <v>3368</v>
      </c>
      <c r="K151" s="16" t="s">
        <v>258</v>
      </c>
      <c r="L151" s="16" t="s">
        <v>169</v>
      </c>
      <c r="M151" s="17">
        <v>45485</v>
      </c>
      <c r="N151" s="16" t="s">
        <v>46</v>
      </c>
      <c r="O151" s="18">
        <v>10</v>
      </c>
      <c r="P151" s="16" t="s">
        <v>54</v>
      </c>
      <c r="Q151" s="16" t="s">
        <v>49</v>
      </c>
      <c r="R151" s="18" t="s">
        <v>167</v>
      </c>
      <c r="S151" s="16" t="s">
        <v>46</v>
      </c>
      <c r="T151" s="18">
        <v>20</v>
      </c>
      <c r="U151" s="18">
        <v>10</v>
      </c>
      <c r="V151" s="18">
        <v>20</v>
      </c>
    </row>
    <row r="152" spans="10:22" hidden="1" x14ac:dyDescent="0.25">
      <c r="J152" s="16">
        <v>3369</v>
      </c>
      <c r="K152" s="16" t="s">
        <v>259</v>
      </c>
      <c r="L152" s="16" t="s">
        <v>166</v>
      </c>
      <c r="M152" s="17">
        <v>45486</v>
      </c>
      <c r="N152" s="16" t="s">
        <v>49</v>
      </c>
      <c r="O152" s="18">
        <v>5</v>
      </c>
      <c r="P152" s="16" t="s">
        <v>51</v>
      </c>
      <c r="Q152" s="16" t="s">
        <v>49</v>
      </c>
      <c r="R152" s="18" t="s">
        <v>167</v>
      </c>
      <c r="S152" s="16" t="s">
        <v>49</v>
      </c>
      <c r="T152" s="18">
        <v>0</v>
      </c>
      <c r="U152" s="18">
        <v>1</v>
      </c>
      <c r="V152" s="18">
        <v>4</v>
      </c>
    </row>
    <row r="153" spans="10:22" x14ac:dyDescent="0.25">
      <c r="J153" s="16">
        <v>3370</v>
      </c>
      <c r="K153" s="16" t="s">
        <v>95</v>
      </c>
      <c r="L153" s="16" t="s">
        <v>45</v>
      </c>
      <c r="M153" s="17">
        <v>45487</v>
      </c>
      <c r="N153" s="16" t="s">
        <v>46</v>
      </c>
      <c r="O153" s="18">
        <v>15</v>
      </c>
      <c r="P153" s="16" t="s">
        <v>47</v>
      </c>
      <c r="Q153" s="16" t="s">
        <v>46</v>
      </c>
      <c r="R153" s="18">
        <v>30</v>
      </c>
      <c r="S153" s="16" t="s">
        <v>46</v>
      </c>
      <c r="T153" s="18">
        <v>20</v>
      </c>
      <c r="U153" s="18">
        <v>15</v>
      </c>
      <c r="V153" s="18">
        <v>50</v>
      </c>
    </row>
    <row r="154" spans="10:22" hidden="1" x14ac:dyDescent="0.25">
      <c r="J154" s="16">
        <v>3371</v>
      </c>
      <c r="K154" s="16" t="s">
        <v>260</v>
      </c>
      <c r="L154" s="16" t="s">
        <v>169</v>
      </c>
      <c r="M154" s="17">
        <v>45488</v>
      </c>
      <c r="N154" s="16" t="s">
        <v>49</v>
      </c>
      <c r="O154" s="18">
        <v>10</v>
      </c>
      <c r="P154" s="16" t="s">
        <v>47</v>
      </c>
      <c r="Q154" s="16" t="s">
        <v>49</v>
      </c>
      <c r="R154" s="18" t="s">
        <v>167</v>
      </c>
      <c r="S154" s="16" t="s">
        <v>46</v>
      </c>
      <c r="T154" s="18">
        <v>20</v>
      </c>
      <c r="U154" s="18">
        <v>5</v>
      </c>
      <c r="V154" s="18">
        <v>25</v>
      </c>
    </row>
    <row r="155" spans="10:22" hidden="1" x14ac:dyDescent="0.25">
      <c r="J155" s="16">
        <v>3372</v>
      </c>
      <c r="K155" s="16" t="s">
        <v>127</v>
      </c>
      <c r="L155" s="16" t="s">
        <v>166</v>
      </c>
      <c r="M155" s="17">
        <v>45489</v>
      </c>
      <c r="N155" s="16" t="s">
        <v>46</v>
      </c>
      <c r="O155" s="18">
        <v>5</v>
      </c>
      <c r="P155" s="16" t="s">
        <v>54</v>
      </c>
      <c r="Q155" s="16" t="s">
        <v>49</v>
      </c>
      <c r="R155" s="18" t="s">
        <v>167</v>
      </c>
      <c r="S155" s="16" t="s">
        <v>49</v>
      </c>
      <c r="T155" s="18">
        <v>0</v>
      </c>
      <c r="U155" s="18">
        <v>0</v>
      </c>
      <c r="V155" s="18">
        <v>5</v>
      </c>
    </row>
    <row r="156" spans="10:22" hidden="1" x14ac:dyDescent="0.25">
      <c r="J156" s="16">
        <v>3373</v>
      </c>
      <c r="K156" s="16" t="s">
        <v>96</v>
      </c>
      <c r="L156" s="16" t="s">
        <v>45</v>
      </c>
      <c r="M156" s="17">
        <v>45490</v>
      </c>
      <c r="N156" s="16" t="s">
        <v>49</v>
      </c>
      <c r="O156" s="18">
        <v>15</v>
      </c>
      <c r="P156" s="16" t="s">
        <v>51</v>
      </c>
      <c r="Q156" s="16" t="s">
        <v>46</v>
      </c>
      <c r="R156" s="18">
        <v>30</v>
      </c>
      <c r="S156" s="16" t="s">
        <v>46</v>
      </c>
      <c r="T156" s="18">
        <v>20</v>
      </c>
      <c r="U156" s="18">
        <v>20</v>
      </c>
      <c r="V156" s="18">
        <v>45</v>
      </c>
    </row>
    <row r="157" spans="10:22" hidden="1" x14ac:dyDescent="0.25">
      <c r="J157" s="16">
        <v>3374</v>
      </c>
      <c r="K157" s="16" t="s">
        <v>261</v>
      </c>
      <c r="L157" s="16" t="s">
        <v>169</v>
      </c>
      <c r="M157" s="17">
        <v>45491</v>
      </c>
      <c r="N157" s="16" t="s">
        <v>46</v>
      </c>
      <c r="O157" s="18">
        <v>10</v>
      </c>
      <c r="P157" s="16" t="s">
        <v>51</v>
      </c>
      <c r="Q157" s="16" t="s">
        <v>49</v>
      </c>
      <c r="R157" s="18" t="s">
        <v>167</v>
      </c>
      <c r="S157" s="16" t="s">
        <v>46</v>
      </c>
      <c r="T157" s="18">
        <v>20</v>
      </c>
      <c r="U157" s="18">
        <v>12</v>
      </c>
      <c r="V157" s="18">
        <v>18</v>
      </c>
    </row>
    <row r="158" spans="10:22" hidden="1" x14ac:dyDescent="0.25">
      <c r="J158" s="16">
        <v>3375</v>
      </c>
      <c r="K158" s="16" t="s">
        <v>262</v>
      </c>
      <c r="L158" s="16" t="s">
        <v>166</v>
      </c>
      <c r="M158" s="17">
        <v>45492</v>
      </c>
      <c r="N158" s="16" t="s">
        <v>49</v>
      </c>
      <c r="O158" s="18">
        <v>5</v>
      </c>
      <c r="P158" s="16" t="s">
        <v>47</v>
      </c>
      <c r="Q158" s="16" t="s">
        <v>49</v>
      </c>
      <c r="R158" s="18" t="s">
        <v>167</v>
      </c>
      <c r="S158" s="16" t="s">
        <v>49</v>
      </c>
      <c r="T158" s="18">
        <v>0</v>
      </c>
      <c r="U158" s="18">
        <v>2</v>
      </c>
      <c r="V158" s="18">
        <v>3</v>
      </c>
    </row>
    <row r="159" spans="10:22" hidden="1" x14ac:dyDescent="0.25">
      <c r="J159" s="16">
        <v>3376</v>
      </c>
      <c r="K159" s="16" t="s">
        <v>97</v>
      </c>
      <c r="L159" s="16" t="s">
        <v>45</v>
      </c>
      <c r="M159" s="17">
        <v>45493</v>
      </c>
      <c r="N159" s="16" t="s">
        <v>46</v>
      </c>
      <c r="O159" s="18">
        <v>15</v>
      </c>
      <c r="P159" s="16" t="s">
        <v>54</v>
      </c>
      <c r="Q159" s="16" t="s">
        <v>46</v>
      </c>
      <c r="R159" s="18">
        <v>30</v>
      </c>
      <c r="S159" s="16" t="s">
        <v>46</v>
      </c>
      <c r="T159" s="18">
        <v>20</v>
      </c>
      <c r="U159" s="18">
        <v>5</v>
      </c>
      <c r="V159" s="18">
        <v>60</v>
      </c>
    </row>
    <row r="160" spans="10:22" hidden="1" x14ac:dyDescent="0.25">
      <c r="J160" s="16">
        <v>3377</v>
      </c>
      <c r="K160" s="16" t="s">
        <v>263</v>
      </c>
      <c r="L160" s="16" t="s">
        <v>169</v>
      </c>
      <c r="M160" s="17">
        <v>45494</v>
      </c>
      <c r="N160" s="16" t="s">
        <v>49</v>
      </c>
      <c r="O160" s="18">
        <v>10</v>
      </c>
      <c r="P160" s="16" t="s">
        <v>47</v>
      </c>
      <c r="Q160" s="16" t="s">
        <v>49</v>
      </c>
      <c r="R160" s="18" t="s">
        <v>167</v>
      </c>
      <c r="S160" s="16" t="s">
        <v>46</v>
      </c>
      <c r="T160" s="18">
        <v>20</v>
      </c>
      <c r="U160" s="18">
        <v>10</v>
      </c>
      <c r="V160" s="18">
        <v>20</v>
      </c>
    </row>
    <row r="161" spans="10:22" hidden="1" x14ac:dyDescent="0.25">
      <c r="J161" s="16">
        <v>3378</v>
      </c>
      <c r="K161" s="16" t="s">
        <v>264</v>
      </c>
      <c r="L161" s="16" t="s">
        <v>166</v>
      </c>
      <c r="M161" s="17">
        <v>45495</v>
      </c>
      <c r="N161" s="16" t="s">
        <v>46</v>
      </c>
      <c r="O161" s="18">
        <v>5</v>
      </c>
      <c r="P161" s="16" t="s">
        <v>51</v>
      </c>
      <c r="Q161" s="16" t="s">
        <v>49</v>
      </c>
      <c r="R161" s="18" t="s">
        <v>167</v>
      </c>
      <c r="S161" s="16" t="s">
        <v>49</v>
      </c>
      <c r="T161" s="18">
        <v>0</v>
      </c>
      <c r="U161" s="18">
        <v>0</v>
      </c>
      <c r="V161" s="18">
        <v>5</v>
      </c>
    </row>
    <row r="162" spans="10:22" x14ac:dyDescent="0.25">
      <c r="J162" s="16">
        <v>3379</v>
      </c>
      <c r="K162" s="16" t="s">
        <v>98</v>
      </c>
      <c r="L162" s="16" t="s">
        <v>45</v>
      </c>
      <c r="M162" s="17">
        <v>45496</v>
      </c>
      <c r="N162" s="16" t="s">
        <v>49</v>
      </c>
      <c r="O162" s="18">
        <v>15</v>
      </c>
      <c r="P162" s="16" t="s">
        <v>47</v>
      </c>
      <c r="Q162" s="16" t="s">
        <v>46</v>
      </c>
      <c r="R162" s="18">
        <v>30</v>
      </c>
      <c r="S162" s="16" t="s">
        <v>46</v>
      </c>
      <c r="T162" s="18">
        <v>20</v>
      </c>
      <c r="U162" s="18">
        <v>3</v>
      </c>
      <c r="V162" s="18">
        <v>62</v>
      </c>
    </row>
    <row r="163" spans="10:22" hidden="1" x14ac:dyDescent="0.25">
      <c r="J163" s="16">
        <v>3380</v>
      </c>
      <c r="K163" s="16" t="s">
        <v>265</v>
      </c>
      <c r="L163" s="16" t="s">
        <v>169</v>
      </c>
      <c r="M163" s="17">
        <v>45497</v>
      </c>
      <c r="N163" s="16" t="s">
        <v>46</v>
      </c>
      <c r="O163" s="18">
        <v>10</v>
      </c>
      <c r="P163" s="16" t="s">
        <v>54</v>
      </c>
      <c r="Q163" s="16" t="s">
        <v>49</v>
      </c>
      <c r="R163" s="18" t="s">
        <v>167</v>
      </c>
      <c r="S163" s="16" t="s">
        <v>46</v>
      </c>
      <c r="T163" s="18">
        <v>20</v>
      </c>
      <c r="U163" s="18">
        <v>15</v>
      </c>
      <c r="V163" s="18">
        <v>15</v>
      </c>
    </row>
    <row r="164" spans="10:22" hidden="1" x14ac:dyDescent="0.25">
      <c r="J164" s="16">
        <v>3381</v>
      </c>
      <c r="K164" s="16" t="s">
        <v>266</v>
      </c>
      <c r="L164" s="16" t="s">
        <v>166</v>
      </c>
      <c r="M164" s="17">
        <v>45498</v>
      </c>
      <c r="N164" s="16" t="s">
        <v>49</v>
      </c>
      <c r="O164" s="18">
        <v>5</v>
      </c>
      <c r="P164" s="16" t="s">
        <v>47</v>
      </c>
      <c r="Q164" s="16" t="s">
        <v>49</v>
      </c>
      <c r="R164" s="18" t="s">
        <v>167</v>
      </c>
      <c r="S164" s="16" t="s">
        <v>49</v>
      </c>
      <c r="T164" s="18">
        <v>0</v>
      </c>
      <c r="U164" s="18">
        <v>1</v>
      </c>
      <c r="V164" s="18">
        <v>4</v>
      </c>
    </row>
    <row r="165" spans="10:22" hidden="1" x14ac:dyDescent="0.25">
      <c r="J165" s="16">
        <v>3382</v>
      </c>
      <c r="K165" s="16" t="s">
        <v>99</v>
      </c>
      <c r="L165" s="16" t="s">
        <v>45</v>
      </c>
      <c r="M165" s="17">
        <v>45499</v>
      </c>
      <c r="N165" s="16" t="s">
        <v>46</v>
      </c>
      <c r="O165" s="18">
        <v>15</v>
      </c>
      <c r="P165" s="16" t="s">
        <v>51</v>
      </c>
      <c r="Q165" s="16" t="s">
        <v>46</v>
      </c>
      <c r="R165" s="18">
        <v>30</v>
      </c>
      <c r="S165" s="16" t="s">
        <v>46</v>
      </c>
      <c r="T165" s="18">
        <v>20</v>
      </c>
      <c r="U165" s="18">
        <v>7</v>
      </c>
      <c r="V165" s="18">
        <v>58</v>
      </c>
    </row>
    <row r="166" spans="10:22" hidden="1" x14ac:dyDescent="0.25">
      <c r="J166" s="16">
        <v>3383</v>
      </c>
      <c r="K166" s="16" t="s">
        <v>267</v>
      </c>
      <c r="L166" s="16" t="s">
        <v>169</v>
      </c>
      <c r="M166" s="17">
        <v>45500</v>
      </c>
      <c r="N166" s="16" t="s">
        <v>49</v>
      </c>
      <c r="O166" s="18">
        <v>10</v>
      </c>
      <c r="P166" s="16" t="s">
        <v>47</v>
      </c>
      <c r="Q166" s="16" t="s">
        <v>49</v>
      </c>
      <c r="R166" s="18" t="s">
        <v>167</v>
      </c>
      <c r="S166" s="16" t="s">
        <v>46</v>
      </c>
      <c r="T166" s="18">
        <v>20</v>
      </c>
      <c r="U166" s="18">
        <v>10</v>
      </c>
      <c r="V166" s="18">
        <v>20</v>
      </c>
    </row>
    <row r="167" spans="10:22" hidden="1" x14ac:dyDescent="0.25">
      <c r="J167" s="16">
        <v>3384</v>
      </c>
      <c r="K167" s="16" t="s">
        <v>268</v>
      </c>
      <c r="L167" s="16" t="s">
        <v>166</v>
      </c>
      <c r="M167" s="17">
        <v>45501</v>
      </c>
      <c r="N167" s="16" t="s">
        <v>46</v>
      </c>
      <c r="O167" s="18">
        <v>5</v>
      </c>
      <c r="P167" s="16" t="s">
        <v>54</v>
      </c>
      <c r="Q167" s="16" t="s">
        <v>49</v>
      </c>
      <c r="R167" s="18" t="s">
        <v>167</v>
      </c>
      <c r="S167" s="16" t="s">
        <v>49</v>
      </c>
      <c r="T167" s="18">
        <v>0</v>
      </c>
      <c r="U167" s="18">
        <v>0</v>
      </c>
      <c r="V167" s="18">
        <v>5</v>
      </c>
    </row>
    <row r="168" spans="10:22" x14ac:dyDescent="0.25">
      <c r="J168" s="16">
        <v>3385</v>
      </c>
      <c r="K168" s="16" t="s">
        <v>100</v>
      </c>
      <c r="L168" s="16" t="s">
        <v>45</v>
      </c>
      <c r="M168" s="17">
        <v>45502</v>
      </c>
      <c r="N168" s="16" t="s">
        <v>49</v>
      </c>
      <c r="O168" s="18">
        <v>15</v>
      </c>
      <c r="P168" s="16" t="s">
        <v>47</v>
      </c>
      <c r="Q168" s="16" t="s">
        <v>46</v>
      </c>
      <c r="R168" s="18">
        <v>30</v>
      </c>
      <c r="S168" s="16" t="s">
        <v>46</v>
      </c>
      <c r="T168" s="18">
        <v>20</v>
      </c>
      <c r="U168" s="18">
        <v>20</v>
      </c>
      <c r="V168" s="18">
        <v>45</v>
      </c>
    </row>
    <row r="169" spans="10:22" hidden="1" x14ac:dyDescent="0.25">
      <c r="J169" s="16">
        <v>3386</v>
      </c>
      <c r="K169" s="16" t="s">
        <v>269</v>
      </c>
      <c r="L169" s="16" t="s">
        <v>169</v>
      </c>
      <c r="M169" s="17">
        <v>45503</v>
      </c>
      <c r="N169" s="16" t="s">
        <v>46</v>
      </c>
      <c r="O169" s="18">
        <v>10</v>
      </c>
      <c r="P169" s="16" t="s">
        <v>51</v>
      </c>
      <c r="Q169" s="16" t="s">
        <v>49</v>
      </c>
      <c r="R169" s="18" t="s">
        <v>167</v>
      </c>
      <c r="S169" s="16" t="s">
        <v>46</v>
      </c>
      <c r="T169" s="18">
        <v>20</v>
      </c>
      <c r="U169" s="18">
        <v>15</v>
      </c>
      <c r="V169" s="18">
        <v>15</v>
      </c>
    </row>
    <row r="170" spans="10:22" hidden="1" x14ac:dyDescent="0.25">
      <c r="J170" s="16">
        <v>3387</v>
      </c>
      <c r="K170" s="16" t="s">
        <v>270</v>
      </c>
      <c r="L170" s="16" t="s">
        <v>166</v>
      </c>
      <c r="M170" s="17">
        <v>45504</v>
      </c>
      <c r="N170" s="16" t="s">
        <v>49</v>
      </c>
      <c r="O170" s="18">
        <v>5</v>
      </c>
      <c r="P170" s="16" t="s">
        <v>47</v>
      </c>
      <c r="Q170" s="16" t="s">
        <v>49</v>
      </c>
      <c r="R170" s="18" t="s">
        <v>167</v>
      </c>
      <c r="S170" s="16" t="s">
        <v>49</v>
      </c>
      <c r="T170" s="18">
        <v>0</v>
      </c>
      <c r="U170" s="18">
        <v>1</v>
      </c>
      <c r="V170" s="18">
        <v>4</v>
      </c>
    </row>
    <row r="171" spans="10:22" hidden="1" x14ac:dyDescent="0.25">
      <c r="J171" s="16">
        <v>3388</v>
      </c>
      <c r="K171" s="16" t="s">
        <v>101</v>
      </c>
      <c r="L171" s="16" t="s">
        <v>45</v>
      </c>
      <c r="M171" s="17">
        <v>45505</v>
      </c>
      <c r="N171" s="16" t="s">
        <v>46</v>
      </c>
      <c r="O171" s="18">
        <v>15</v>
      </c>
      <c r="P171" s="16" t="s">
        <v>54</v>
      </c>
      <c r="Q171" s="16" t="s">
        <v>46</v>
      </c>
      <c r="R171" s="18">
        <v>30</v>
      </c>
      <c r="S171" s="16" t="s">
        <v>46</v>
      </c>
      <c r="T171" s="18">
        <v>20</v>
      </c>
      <c r="U171" s="18">
        <v>3</v>
      </c>
      <c r="V171" s="18">
        <v>62</v>
      </c>
    </row>
    <row r="172" spans="10:22" hidden="1" x14ac:dyDescent="0.25">
      <c r="J172" s="16">
        <v>3389</v>
      </c>
      <c r="K172" s="16" t="s">
        <v>271</v>
      </c>
      <c r="L172" s="16" t="s">
        <v>169</v>
      </c>
      <c r="M172" s="17">
        <v>45506</v>
      </c>
      <c r="N172" s="16" t="s">
        <v>49</v>
      </c>
      <c r="O172" s="18">
        <v>10</v>
      </c>
      <c r="P172" s="16" t="s">
        <v>47</v>
      </c>
      <c r="Q172" s="16" t="s">
        <v>49</v>
      </c>
      <c r="R172" s="18" t="s">
        <v>167</v>
      </c>
      <c r="S172" s="16" t="s">
        <v>46</v>
      </c>
      <c r="T172" s="18">
        <v>20</v>
      </c>
      <c r="U172" s="18">
        <v>10</v>
      </c>
      <c r="V172" s="18">
        <v>20</v>
      </c>
    </row>
    <row r="173" spans="10:22" hidden="1" x14ac:dyDescent="0.25">
      <c r="J173" s="16">
        <v>3390</v>
      </c>
      <c r="K173" s="16" t="s">
        <v>272</v>
      </c>
      <c r="L173" s="16" t="s">
        <v>166</v>
      </c>
      <c r="M173" s="17">
        <v>45507</v>
      </c>
      <c r="N173" s="16" t="s">
        <v>46</v>
      </c>
      <c r="O173" s="18">
        <v>5</v>
      </c>
      <c r="P173" s="16" t="s">
        <v>51</v>
      </c>
      <c r="Q173" s="16" t="s">
        <v>49</v>
      </c>
      <c r="R173" s="18" t="s">
        <v>167</v>
      </c>
      <c r="S173" s="16" t="s">
        <v>49</v>
      </c>
      <c r="T173" s="18">
        <v>0</v>
      </c>
      <c r="U173" s="18">
        <v>0</v>
      </c>
      <c r="V173" s="18">
        <v>5</v>
      </c>
    </row>
    <row r="174" spans="10:22" x14ac:dyDescent="0.25">
      <c r="J174" s="16">
        <v>3391</v>
      </c>
      <c r="K174" s="16" t="s">
        <v>102</v>
      </c>
      <c r="L174" s="16" t="s">
        <v>45</v>
      </c>
      <c r="M174" s="17">
        <v>45508</v>
      </c>
      <c r="N174" s="16" t="s">
        <v>49</v>
      </c>
      <c r="O174" s="18">
        <v>15</v>
      </c>
      <c r="P174" s="16" t="s">
        <v>47</v>
      </c>
      <c r="Q174" s="16" t="s">
        <v>46</v>
      </c>
      <c r="R174" s="18">
        <v>30</v>
      </c>
      <c r="S174" s="16" t="s">
        <v>46</v>
      </c>
      <c r="T174" s="18">
        <v>20</v>
      </c>
      <c r="U174" s="18">
        <v>15</v>
      </c>
      <c r="V174" s="18">
        <v>50</v>
      </c>
    </row>
    <row r="175" spans="10:22" hidden="1" x14ac:dyDescent="0.25">
      <c r="J175" s="16">
        <v>3392</v>
      </c>
      <c r="K175" s="16" t="s">
        <v>273</v>
      </c>
      <c r="L175" s="16" t="s">
        <v>169</v>
      </c>
      <c r="M175" s="17">
        <v>45509</v>
      </c>
      <c r="N175" s="16" t="s">
        <v>46</v>
      </c>
      <c r="O175" s="18">
        <v>10</v>
      </c>
      <c r="P175" s="16" t="s">
        <v>54</v>
      </c>
      <c r="Q175" s="16" t="s">
        <v>49</v>
      </c>
      <c r="R175" s="18" t="s">
        <v>167</v>
      </c>
      <c r="S175" s="16" t="s">
        <v>46</v>
      </c>
      <c r="T175" s="18">
        <v>20</v>
      </c>
      <c r="U175" s="18">
        <v>15</v>
      </c>
      <c r="V175" s="18">
        <v>15</v>
      </c>
    </row>
    <row r="176" spans="10:22" hidden="1" x14ac:dyDescent="0.25">
      <c r="J176" s="16">
        <v>3393</v>
      </c>
      <c r="K176" s="16" t="s">
        <v>274</v>
      </c>
      <c r="L176" s="16" t="s">
        <v>166</v>
      </c>
      <c r="M176" s="17">
        <v>45510</v>
      </c>
      <c r="N176" s="16" t="s">
        <v>49</v>
      </c>
      <c r="O176" s="18">
        <v>5</v>
      </c>
      <c r="P176" s="16" t="s">
        <v>47</v>
      </c>
      <c r="Q176" s="16" t="s">
        <v>49</v>
      </c>
      <c r="R176" s="18" t="s">
        <v>167</v>
      </c>
      <c r="S176" s="16" t="s">
        <v>49</v>
      </c>
      <c r="T176" s="18">
        <v>0</v>
      </c>
      <c r="U176" s="18">
        <v>1</v>
      </c>
      <c r="V176" s="18">
        <v>4</v>
      </c>
    </row>
    <row r="177" spans="10:22" hidden="1" x14ac:dyDescent="0.25">
      <c r="J177" s="16">
        <v>3394</v>
      </c>
      <c r="K177" s="16" t="s">
        <v>103</v>
      </c>
      <c r="L177" s="16" t="s">
        <v>45</v>
      </c>
      <c r="M177" s="17">
        <v>45511</v>
      </c>
      <c r="N177" s="16" t="s">
        <v>46</v>
      </c>
      <c r="O177" s="18">
        <v>15</v>
      </c>
      <c r="P177" s="16" t="s">
        <v>51</v>
      </c>
      <c r="Q177" s="16" t="s">
        <v>46</v>
      </c>
      <c r="R177" s="18">
        <v>30</v>
      </c>
      <c r="S177" s="16" t="s">
        <v>46</v>
      </c>
      <c r="T177" s="18">
        <v>20</v>
      </c>
      <c r="U177" s="18">
        <v>7</v>
      </c>
      <c r="V177" s="18">
        <v>58</v>
      </c>
    </row>
    <row r="178" spans="10:22" hidden="1" x14ac:dyDescent="0.25">
      <c r="J178" s="16">
        <v>3395</v>
      </c>
      <c r="K178" s="16" t="s">
        <v>275</v>
      </c>
      <c r="L178" s="16" t="s">
        <v>169</v>
      </c>
      <c r="M178" s="17">
        <v>45512</v>
      </c>
      <c r="N178" s="16" t="s">
        <v>49</v>
      </c>
      <c r="O178" s="18">
        <v>10</v>
      </c>
      <c r="P178" s="16" t="s">
        <v>47</v>
      </c>
      <c r="Q178" s="16" t="s">
        <v>49</v>
      </c>
      <c r="R178" s="18" t="s">
        <v>167</v>
      </c>
      <c r="S178" s="16" t="s">
        <v>46</v>
      </c>
      <c r="T178" s="18">
        <v>20</v>
      </c>
      <c r="U178" s="18">
        <v>10</v>
      </c>
      <c r="V178" s="18">
        <v>20</v>
      </c>
    </row>
    <row r="179" spans="10:22" hidden="1" x14ac:dyDescent="0.25">
      <c r="J179" s="16">
        <v>3396</v>
      </c>
      <c r="K179" s="16" t="s">
        <v>276</v>
      </c>
      <c r="L179" s="16" t="s">
        <v>166</v>
      </c>
      <c r="M179" s="17">
        <v>45513</v>
      </c>
      <c r="N179" s="16" t="s">
        <v>46</v>
      </c>
      <c r="O179" s="18">
        <v>5</v>
      </c>
      <c r="P179" s="16" t="s">
        <v>54</v>
      </c>
      <c r="Q179" s="16" t="s">
        <v>49</v>
      </c>
      <c r="R179" s="18" t="s">
        <v>167</v>
      </c>
      <c r="S179" s="16" t="s">
        <v>49</v>
      </c>
      <c r="T179" s="18">
        <v>0</v>
      </c>
      <c r="U179" s="18">
        <v>0</v>
      </c>
      <c r="V179" s="18">
        <v>5</v>
      </c>
    </row>
    <row r="180" spans="10:22" x14ac:dyDescent="0.25">
      <c r="J180" s="16">
        <v>3397</v>
      </c>
      <c r="K180" s="16" t="s">
        <v>80</v>
      </c>
      <c r="L180" s="16" t="s">
        <v>45</v>
      </c>
      <c r="M180" s="17">
        <v>45514</v>
      </c>
      <c r="N180" s="16" t="s">
        <v>49</v>
      </c>
      <c r="O180" s="18">
        <v>15</v>
      </c>
      <c r="P180" s="16" t="s">
        <v>47</v>
      </c>
      <c r="Q180" s="16" t="s">
        <v>46</v>
      </c>
      <c r="R180" s="18">
        <v>30</v>
      </c>
      <c r="S180" s="16" t="s">
        <v>46</v>
      </c>
      <c r="T180" s="18">
        <v>20</v>
      </c>
      <c r="U180" s="18">
        <v>20</v>
      </c>
      <c r="V180" s="18">
        <v>45</v>
      </c>
    </row>
    <row r="181" spans="10:22" hidden="1" x14ac:dyDescent="0.25">
      <c r="J181" s="16">
        <v>3398</v>
      </c>
      <c r="K181" s="16" t="s">
        <v>277</v>
      </c>
      <c r="L181" s="16" t="s">
        <v>169</v>
      </c>
      <c r="M181" s="17">
        <v>45515</v>
      </c>
      <c r="N181" s="16" t="s">
        <v>46</v>
      </c>
      <c r="O181" s="18">
        <v>10</v>
      </c>
      <c r="P181" s="16" t="s">
        <v>51</v>
      </c>
      <c r="Q181" s="16" t="s">
        <v>49</v>
      </c>
      <c r="R181" s="18" t="s">
        <v>167</v>
      </c>
      <c r="S181" s="16" t="s">
        <v>46</v>
      </c>
      <c r="T181" s="18">
        <v>20</v>
      </c>
      <c r="U181" s="18">
        <v>15</v>
      </c>
      <c r="V181" s="18">
        <v>15</v>
      </c>
    </row>
    <row r="182" spans="10:22" hidden="1" x14ac:dyDescent="0.25">
      <c r="J182" s="16">
        <v>3399</v>
      </c>
      <c r="K182" s="16" t="s">
        <v>278</v>
      </c>
      <c r="L182" s="16" t="s">
        <v>166</v>
      </c>
      <c r="M182" s="17">
        <v>45516</v>
      </c>
      <c r="N182" s="16" t="s">
        <v>49</v>
      </c>
      <c r="O182" s="18">
        <v>5</v>
      </c>
      <c r="P182" s="16" t="s">
        <v>47</v>
      </c>
      <c r="Q182" s="16" t="s">
        <v>49</v>
      </c>
      <c r="R182" s="18" t="s">
        <v>167</v>
      </c>
      <c r="S182" s="16" t="s">
        <v>49</v>
      </c>
      <c r="T182" s="18">
        <v>0</v>
      </c>
      <c r="U182" s="18">
        <v>1</v>
      </c>
      <c r="V182" s="18">
        <v>4</v>
      </c>
    </row>
    <row r="183" spans="10:22" hidden="1" x14ac:dyDescent="0.25">
      <c r="J183" s="16">
        <v>3400</v>
      </c>
      <c r="K183" s="16" t="s">
        <v>104</v>
      </c>
      <c r="L183" s="16" t="s">
        <v>45</v>
      </c>
      <c r="M183" s="17">
        <v>45517</v>
      </c>
      <c r="N183" s="16" t="s">
        <v>46</v>
      </c>
      <c r="O183" s="18">
        <v>15</v>
      </c>
      <c r="P183" s="16" t="s">
        <v>54</v>
      </c>
      <c r="Q183" s="16" t="s">
        <v>46</v>
      </c>
      <c r="R183" s="18">
        <v>30</v>
      </c>
      <c r="S183" s="16" t="s">
        <v>46</v>
      </c>
      <c r="T183" s="18">
        <v>20</v>
      </c>
      <c r="U183" s="18">
        <v>5</v>
      </c>
      <c r="V183" s="18">
        <v>60</v>
      </c>
    </row>
    <row r="184" spans="10:22" hidden="1" x14ac:dyDescent="0.25">
      <c r="J184" s="16">
        <v>3401</v>
      </c>
      <c r="K184" s="16" t="s">
        <v>279</v>
      </c>
      <c r="L184" s="16" t="s">
        <v>169</v>
      </c>
      <c r="M184" s="17">
        <v>45518</v>
      </c>
      <c r="N184" s="16" t="s">
        <v>49</v>
      </c>
      <c r="O184" s="18">
        <v>10</v>
      </c>
      <c r="P184" s="16" t="s">
        <v>47</v>
      </c>
      <c r="Q184" s="16" t="s">
        <v>49</v>
      </c>
      <c r="R184" s="18" t="s">
        <v>167</v>
      </c>
      <c r="S184" s="16" t="s">
        <v>46</v>
      </c>
      <c r="T184" s="18">
        <v>20</v>
      </c>
      <c r="U184" s="18">
        <v>10</v>
      </c>
      <c r="V184" s="18">
        <v>20</v>
      </c>
    </row>
    <row r="185" spans="10:22" hidden="1" x14ac:dyDescent="0.25">
      <c r="J185" s="16">
        <v>3402</v>
      </c>
      <c r="K185" s="16" t="s">
        <v>280</v>
      </c>
      <c r="L185" s="16" t="s">
        <v>166</v>
      </c>
      <c r="M185" s="17">
        <v>45519</v>
      </c>
      <c r="N185" s="16" t="s">
        <v>46</v>
      </c>
      <c r="O185" s="18">
        <v>5</v>
      </c>
      <c r="P185" s="16" t="s">
        <v>51</v>
      </c>
      <c r="Q185" s="16" t="s">
        <v>49</v>
      </c>
      <c r="R185" s="18" t="s">
        <v>167</v>
      </c>
      <c r="S185" s="16" t="s">
        <v>49</v>
      </c>
      <c r="T185" s="18">
        <v>0</v>
      </c>
      <c r="U185" s="18">
        <v>0</v>
      </c>
      <c r="V185" s="18">
        <v>5</v>
      </c>
    </row>
    <row r="186" spans="10:22" x14ac:dyDescent="0.25">
      <c r="J186" s="16">
        <v>3403</v>
      </c>
      <c r="K186" s="16" t="s">
        <v>105</v>
      </c>
      <c r="L186" s="16" t="s">
        <v>45</v>
      </c>
      <c r="M186" s="17">
        <v>45520</v>
      </c>
      <c r="N186" s="16" t="s">
        <v>49</v>
      </c>
      <c r="O186" s="18">
        <v>15</v>
      </c>
      <c r="P186" s="16" t="s">
        <v>47</v>
      </c>
      <c r="Q186" s="16" t="s">
        <v>46</v>
      </c>
      <c r="R186" s="18">
        <v>30</v>
      </c>
      <c r="S186" s="16" t="s">
        <v>46</v>
      </c>
      <c r="T186" s="18">
        <v>20</v>
      </c>
      <c r="U186" s="18">
        <v>3</v>
      </c>
      <c r="V186" s="18">
        <v>62</v>
      </c>
    </row>
    <row r="187" spans="10:22" hidden="1" x14ac:dyDescent="0.25">
      <c r="J187" s="16">
        <v>3404</v>
      </c>
      <c r="K187" s="16" t="s">
        <v>281</v>
      </c>
      <c r="L187" s="16" t="s">
        <v>169</v>
      </c>
      <c r="M187" s="17">
        <v>45521</v>
      </c>
      <c r="N187" s="16" t="s">
        <v>46</v>
      </c>
      <c r="O187" s="18">
        <v>10</v>
      </c>
      <c r="P187" s="16" t="s">
        <v>54</v>
      </c>
      <c r="Q187" s="16" t="s">
        <v>49</v>
      </c>
      <c r="R187" s="18" t="s">
        <v>167</v>
      </c>
      <c r="S187" s="16" t="s">
        <v>46</v>
      </c>
      <c r="T187" s="18">
        <v>20</v>
      </c>
      <c r="U187" s="18">
        <v>15</v>
      </c>
      <c r="V187" s="18">
        <v>15</v>
      </c>
    </row>
    <row r="188" spans="10:22" hidden="1" x14ac:dyDescent="0.25">
      <c r="J188" s="16">
        <v>3405</v>
      </c>
      <c r="K188" s="16" t="s">
        <v>282</v>
      </c>
      <c r="L188" s="16" t="s">
        <v>166</v>
      </c>
      <c r="M188" s="17">
        <v>45522</v>
      </c>
      <c r="N188" s="16" t="s">
        <v>49</v>
      </c>
      <c r="O188" s="18">
        <v>5</v>
      </c>
      <c r="P188" s="16" t="s">
        <v>47</v>
      </c>
      <c r="Q188" s="16" t="s">
        <v>49</v>
      </c>
      <c r="R188" s="18" t="s">
        <v>167</v>
      </c>
      <c r="S188" s="16" t="s">
        <v>49</v>
      </c>
      <c r="T188" s="18">
        <v>0</v>
      </c>
      <c r="U188" s="18">
        <v>1</v>
      </c>
      <c r="V188" s="18">
        <v>4</v>
      </c>
    </row>
    <row r="189" spans="10:22" hidden="1" x14ac:dyDescent="0.25">
      <c r="J189" s="16">
        <v>3406</v>
      </c>
      <c r="K189" s="16" t="s">
        <v>283</v>
      </c>
      <c r="L189" s="16" t="s">
        <v>166</v>
      </c>
      <c r="M189" s="17">
        <v>45523</v>
      </c>
      <c r="N189" s="16" t="s">
        <v>46</v>
      </c>
      <c r="O189" s="18">
        <v>5</v>
      </c>
      <c r="P189" s="16" t="s">
        <v>47</v>
      </c>
      <c r="Q189" s="16" t="s">
        <v>49</v>
      </c>
      <c r="R189" s="18" t="s">
        <v>167</v>
      </c>
      <c r="S189" s="16" t="s">
        <v>49</v>
      </c>
      <c r="T189" s="18">
        <v>0</v>
      </c>
      <c r="U189" s="18">
        <v>0</v>
      </c>
      <c r="V189" s="18">
        <v>5</v>
      </c>
    </row>
    <row r="190" spans="10:22" hidden="1" x14ac:dyDescent="0.25">
      <c r="J190" s="16">
        <v>3407</v>
      </c>
      <c r="K190" s="16" t="s">
        <v>106</v>
      </c>
      <c r="L190" s="16" t="s">
        <v>45</v>
      </c>
      <c r="M190" s="17">
        <v>45524</v>
      </c>
      <c r="N190" s="16" t="s">
        <v>49</v>
      </c>
      <c r="O190" s="18">
        <v>15</v>
      </c>
      <c r="P190" s="16" t="s">
        <v>51</v>
      </c>
      <c r="Q190" s="16" t="s">
        <v>46</v>
      </c>
      <c r="R190" s="18">
        <v>30</v>
      </c>
      <c r="S190" s="16" t="s">
        <v>46</v>
      </c>
      <c r="T190" s="18">
        <v>20</v>
      </c>
      <c r="U190" s="18">
        <v>7</v>
      </c>
      <c r="V190" s="18">
        <v>58</v>
      </c>
    </row>
    <row r="191" spans="10:22" hidden="1" x14ac:dyDescent="0.25">
      <c r="J191" s="16">
        <v>3408</v>
      </c>
      <c r="K191" s="16" t="s">
        <v>284</v>
      </c>
      <c r="L191" s="16" t="s">
        <v>169</v>
      </c>
      <c r="M191" s="17">
        <v>45525</v>
      </c>
      <c r="N191" s="16" t="s">
        <v>46</v>
      </c>
      <c r="O191" s="18">
        <v>10</v>
      </c>
      <c r="P191" s="16" t="s">
        <v>54</v>
      </c>
      <c r="Q191" s="16" t="s">
        <v>49</v>
      </c>
      <c r="R191" s="18" t="s">
        <v>167</v>
      </c>
      <c r="S191" s="16" t="s">
        <v>46</v>
      </c>
      <c r="T191" s="18">
        <v>20</v>
      </c>
      <c r="U191" s="18">
        <v>10</v>
      </c>
      <c r="V191" s="18">
        <v>20</v>
      </c>
    </row>
    <row r="192" spans="10:22" hidden="1" x14ac:dyDescent="0.25">
      <c r="J192" s="16">
        <v>3409</v>
      </c>
      <c r="K192" s="16" t="s">
        <v>285</v>
      </c>
      <c r="L192" s="16" t="s">
        <v>166</v>
      </c>
      <c r="M192" s="17">
        <v>45526</v>
      </c>
      <c r="N192" s="16" t="s">
        <v>49</v>
      </c>
      <c r="O192" s="18">
        <v>5</v>
      </c>
      <c r="P192" s="16" t="s">
        <v>51</v>
      </c>
      <c r="Q192" s="16" t="s">
        <v>49</v>
      </c>
      <c r="R192" s="18" t="s">
        <v>167</v>
      </c>
      <c r="S192" s="16" t="s">
        <v>49</v>
      </c>
      <c r="T192" s="18">
        <v>0</v>
      </c>
      <c r="U192" s="18">
        <v>1</v>
      </c>
      <c r="V192" s="18">
        <v>4</v>
      </c>
    </row>
    <row r="193" spans="10:22" x14ac:dyDescent="0.25">
      <c r="J193" s="16">
        <v>3410</v>
      </c>
      <c r="K193" s="16" t="s">
        <v>107</v>
      </c>
      <c r="L193" s="16" t="s">
        <v>45</v>
      </c>
      <c r="M193" s="17">
        <v>45527</v>
      </c>
      <c r="N193" s="16" t="s">
        <v>46</v>
      </c>
      <c r="O193" s="18">
        <v>15</v>
      </c>
      <c r="P193" s="16" t="s">
        <v>47</v>
      </c>
      <c r="Q193" s="16" t="s">
        <v>46</v>
      </c>
      <c r="R193" s="18">
        <v>30</v>
      </c>
      <c r="S193" s="16" t="s">
        <v>46</v>
      </c>
      <c r="T193" s="18">
        <v>20</v>
      </c>
      <c r="U193" s="18">
        <v>15</v>
      </c>
      <c r="V193" s="18">
        <v>50</v>
      </c>
    </row>
    <row r="194" spans="10:22" hidden="1" x14ac:dyDescent="0.25">
      <c r="J194" s="16">
        <v>3411</v>
      </c>
      <c r="K194" s="16" t="s">
        <v>286</v>
      </c>
      <c r="L194" s="16" t="s">
        <v>169</v>
      </c>
      <c r="M194" s="17">
        <v>45528</v>
      </c>
      <c r="N194" s="16" t="s">
        <v>49</v>
      </c>
      <c r="O194" s="18">
        <v>10</v>
      </c>
      <c r="P194" s="16" t="s">
        <v>47</v>
      </c>
      <c r="Q194" s="16" t="s">
        <v>49</v>
      </c>
      <c r="R194" s="18" t="s">
        <v>167</v>
      </c>
      <c r="S194" s="16" t="s">
        <v>46</v>
      </c>
      <c r="T194" s="18">
        <v>20</v>
      </c>
      <c r="U194" s="18">
        <v>5</v>
      </c>
      <c r="V194" s="18">
        <v>25</v>
      </c>
    </row>
    <row r="195" spans="10:22" hidden="1" x14ac:dyDescent="0.25">
      <c r="J195" s="16">
        <v>3412</v>
      </c>
      <c r="K195" s="16" t="s">
        <v>287</v>
      </c>
      <c r="L195" s="16" t="s">
        <v>166</v>
      </c>
      <c r="M195" s="17">
        <v>45529</v>
      </c>
      <c r="N195" s="16" t="s">
        <v>46</v>
      </c>
      <c r="O195" s="18">
        <v>5</v>
      </c>
      <c r="P195" s="16" t="s">
        <v>54</v>
      </c>
      <c r="Q195" s="16" t="s">
        <v>49</v>
      </c>
      <c r="R195" s="18" t="s">
        <v>167</v>
      </c>
      <c r="S195" s="16" t="s">
        <v>49</v>
      </c>
      <c r="T195" s="18">
        <v>0</v>
      </c>
      <c r="U195" s="18">
        <v>0</v>
      </c>
      <c r="V195" s="18">
        <v>5</v>
      </c>
    </row>
    <row r="196" spans="10:22" hidden="1" x14ac:dyDescent="0.25">
      <c r="J196" s="16">
        <v>3413</v>
      </c>
      <c r="K196" s="16" t="s">
        <v>108</v>
      </c>
      <c r="L196" s="16" t="s">
        <v>45</v>
      </c>
      <c r="M196" s="17">
        <v>45530</v>
      </c>
      <c r="N196" s="16" t="s">
        <v>49</v>
      </c>
      <c r="O196" s="18">
        <v>15</v>
      </c>
      <c r="P196" s="16" t="s">
        <v>51</v>
      </c>
      <c r="Q196" s="16" t="s">
        <v>46</v>
      </c>
      <c r="R196" s="18">
        <v>30</v>
      </c>
      <c r="S196" s="16" t="s">
        <v>46</v>
      </c>
      <c r="T196" s="18">
        <v>20</v>
      </c>
      <c r="U196" s="18">
        <v>20</v>
      </c>
      <c r="V196" s="18">
        <v>45</v>
      </c>
    </row>
    <row r="197" spans="10:22" hidden="1" x14ac:dyDescent="0.25">
      <c r="J197" s="16">
        <v>3414</v>
      </c>
      <c r="K197" s="16" t="s">
        <v>288</v>
      </c>
      <c r="L197" s="16" t="s">
        <v>169</v>
      </c>
      <c r="M197" s="17">
        <v>45531</v>
      </c>
      <c r="N197" s="16" t="s">
        <v>46</v>
      </c>
      <c r="O197" s="18">
        <v>10</v>
      </c>
      <c r="P197" s="16" t="s">
        <v>51</v>
      </c>
      <c r="Q197" s="16" t="s">
        <v>49</v>
      </c>
      <c r="R197" s="18" t="s">
        <v>167</v>
      </c>
      <c r="S197" s="16" t="s">
        <v>46</v>
      </c>
      <c r="T197" s="18">
        <v>20</v>
      </c>
      <c r="U197" s="18">
        <v>12</v>
      </c>
      <c r="V197" s="18">
        <v>18</v>
      </c>
    </row>
    <row r="198" spans="10:22" hidden="1" x14ac:dyDescent="0.25">
      <c r="J198" s="16">
        <v>3415</v>
      </c>
      <c r="K198" s="16" t="s">
        <v>142</v>
      </c>
      <c r="L198" s="16" t="s">
        <v>166</v>
      </c>
      <c r="M198" s="17">
        <v>45532</v>
      </c>
      <c r="N198" s="16" t="s">
        <v>49</v>
      </c>
      <c r="O198" s="18">
        <v>5</v>
      </c>
      <c r="P198" s="16" t="s">
        <v>47</v>
      </c>
      <c r="Q198" s="16" t="s">
        <v>49</v>
      </c>
      <c r="R198" s="18" t="s">
        <v>167</v>
      </c>
      <c r="S198" s="16" t="s">
        <v>49</v>
      </c>
      <c r="T198" s="18">
        <v>0</v>
      </c>
      <c r="U198" s="18">
        <v>2</v>
      </c>
      <c r="V198" s="18">
        <v>3</v>
      </c>
    </row>
    <row r="199" spans="10:22" hidden="1" x14ac:dyDescent="0.25">
      <c r="J199" s="16">
        <v>3416</v>
      </c>
      <c r="K199" s="16" t="s">
        <v>109</v>
      </c>
      <c r="L199" s="16" t="s">
        <v>45</v>
      </c>
      <c r="M199" s="17">
        <v>45533</v>
      </c>
      <c r="N199" s="16" t="s">
        <v>46</v>
      </c>
      <c r="O199" s="18">
        <v>15</v>
      </c>
      <c r="P199" s="16" t="s">
        <v>54</v>
      </c>
      <c r="Q199" s="16" t="s">
        <v>46</v>
      </c>
      <c r="R199" s="18">
        <v>30</v>
      </c>
      <c r="S199" s="16" t="s">
        <v>46</v>
      </c>
      <c r="T199" s="18">
        <v>20</v>
      </c>
      <c r="U199" s="18">
        <v>5</v>
      </c>
      <c r="V199" s="18">
        <v>60</v>
      </c>
    </row>
    <row r="200" spans="10:22" hidden="1" x14ac:dyDescent="0.25">
      <c r="J200" s="16">
        <v>3417</v>
      </c>
      <c r="K200" s="16" t="s">
        <v>289</v>
      </c>
      <c r="L200" s="16" t="s">
        <v>169</v>
      </c>
      <c r="M200" s="17">
        <v>45534</v>
      </c>
      <c r="N200" s="16" t="s">
        <v>49</v>
      </c>
      <c r="O200" s="18">
        <v>10</v>
      </c>
      <c r="P200" s="16" t="s">
        <v>47</v>
      </c>
      <c r="Q200" s="16" t="s">
        <v>49</v>
      </c>
      <c r="R200" s="18" t="s">
        <v>167</v>
      </c>
      <c r="S200" s="16" t="s">
        <v>46</v>
      </c>
      <c r="T200" s="18">
        <v>20</v>
      </c>
      <c r="U200" s="18">
        <v>10</v>
      </c>
      <c r="V200" s="18">
        <v>20</v>
      </c>
    </row>
    <row r="201" spans="10:22" hidden="1" x14ac:dyDescent="0.25">
      <c r="J201" s="16">
        <v>3418</v>
      </c>
      <c r="K201" s="16" t="s">
        <v>290</v>
      </c>
      <c r="L201" s="16" t="s">
        <v>166</v>
      </c>
      <c r="M201" s="17">
        <v>45535</v>
      </c>
      <c r="N201" s="16" t="s">
        <v>46</v>
      </c>
      <c r="O201" s="18">
        <v>5</v>
      </c>
      <c r="P201" s="16" t="s">
        <v>51</v>
      </c>
      <c r="Q201" s="16" t="s">
        <v>49</v>
      </c>
      <c r="R201" s="18" t="s">
        <v>167</v>
      </c>
      <c r="S201" s="16" t="s">
        <v>49</v>
      </c>
      <c r="T201" s="18">
        <v>0</v>
      </c>
      <c r="U201" s="18">
        <v>0</v>
      </c>
      <c r="V201" s="18">
        <v>5</v>
      </c>
    </row>
    <row r="202" spans="10:22" x14ac:dyDescent="0.25">
      <c r="J202" s="16">
        <v>3419</v>
      </c>
      <c r="K202" s="16" t="s">
        <v>110</v>
      </c>
      <c r="L202" s="16" t="s">
        <v>45</v>
      </c>
      <c r="M202" s="17">
        <v>45536</v>
      </c>
      <c r="N202" s="16" t="s">
        <v>49</v>
      </c>
      <c r="O202" s="18">
        <v>15</v>
      </c>
      <c r="P202" s="16" t="s">
        <v>47</v>
      </c>
      <c r="Q202" s="16" t="s">
        <v>46</v>
      </c>
      <c r="R202" s="18">
        <v>30</v>
      </c>
      <c r="S202" s="16" t="s">
        <v>46</v>
      </c>
      <c r="T202" s="18">
        <v>20</v>
      </c>
      <c r="U202" s="18">
        <v>3</v>
      </c>
      <c r="V202" s="18">
        <v>62</v>
      </c>
    </row>
    <row r="203" spans="10:22" hidden="1" x14ac:dyDescent="0.25">
      <c r="J203" s="16">
        <v>3420</v>
      </c>
      <c r="K203" s="16" t="s">
        <v>291</v>
      </c>
      <c r="L203" s="16" t="s">
        <v>169</v>
      </c>
      <c r="M203" s="17">
        <v>45537</v>
      </c>
      <c r="N203" s="16" t="s">
        <v>46</v>
      </c>
      <c r="O203" s="18">
        <v>10</v>
      </c>
      <c r="P203" s="16" t="s">
        <v>54</v>
      </c>
      <c r="Q203" s="16" t="s">
        <v>49</v>
      </c>
      <c r="R203" s="18" t="s">
        <v>167</v>
      </c>
      <c r="S203" s="16" t="s">
        <v>46</v>
      </c>
      <c r="T203" s="18">
        <v>20</v>
      </c>
      <c r="U203" s="18">
        <v>15</v>
      </c>
      <c r="V203" s="18">
        <v>15</v>
      </c>
    </row>
    <row r="204" spans="10:22" hidden="1" x14ac:dyDescent="0.25">
      <c r="J204" s="16">
        <v>3421</v>
      </c>
      <c r="K204" s="16" t="s">
        <v>177</v>
      </c>
      <c r="L204" s="16" t="s">
        <v>166</v>
      </c>
      <c r="M204" s="17">
        <v>45538</v>
      </c>
      <c r="N204" s="16" t="s">
        <v>49</v>
      </c>
      <c r="O204" s="18">
        <v>5</v>
      </c>
      <c r="P204" s="16" t="s">
        <v>47</v>
      </c>
      <c r="Q204" s="16" t="s">
        <v>49</v>
      </c>
      <c r="R204" s="18" t="s">
        <v>167</v>
      </c>
      <c r="S204" s="16" t="s">
        <v>49</v>
      </c>
      <c r="T204" s="18">
        <v>0</v>
      </c>
      <c r="U204" s="18">
        <v>1</v>
      </c>
      <c r="V204" s="18">
        <v>4</v>
      </c>
    </row>
    <row r="205" spans="10:22" hidden="1" x14ac:dyDescent="0.25">
      <c r="J205" s="16">
        <v>3422</v>
      </c>
      <c r="K205" s="16" t="s">
        <v>111</v>
      </c>
      <c r="L205" s="16" t="s">
        <v>45</v>
      </c>
      <c r="M205" s="17">
        <v>45539</v>
      </c>
      <c r="N205" s="16" t="s">
        <v>46</v>
      </c>
      <c r="O205" s="18">
        <v>15</v>
      </c>
      <c r="P205" s="16" t="s">
        <v>51</v>
      </c>
      <c r="Q205" s="16" t="s">
        <v>46</v>
      </c>
      <c r="R205" s="18">
        <v>30</v>
      </c>
      <c r="S205" s="16" t="s">
        <v>46</v>
      </c>
      <c r="T205" s="18">
        <v>20</v>
      </c>
      <c r="U205" s="18">
        <v>7</v>
      </c>
      <c r="V205" s="18">
        <v>58</v>
      </c>
    </row>
    <row r="206" spans="10:22" hidden="1" x14ac:dyDescent="0.25">
      <c r="J206" s="16">
        <v>3423</v>
      </c>
      <c r="K206" s="16" t="s">
        <v>292</v>
      </c>
      <c r="L206" s="16" t="s">
        <v>169</v>
      </c>
      <c r="M206" s="17">
        <v>45540</v>
      </c>
      <c r="N206" s="16" t="s">
        <v>49</v>
      </c>
      <c r="O206" s="18">
        <v>10</v>
      </c>
      <c r="P206" s="16" t="s">
        <v>47</v>
      </c>
      <c r="Q206" s="16" t="s">
        <v>49</v>
      </c>
      <c r="R206" s="18" t="s">
        <v>167</v>
      </c>
      <c r="S206" s="16" t="s">
        <v>46</v>
      </c>
      <c r="T206" s="18">
        <v>20</v>
      </c>
      <c r="U206" s="18">
        <v>10</v>
      </c>
      <c r="V206" s="18">
        <v>20</v>
      </c>
    </row>
    <row r="207" spans="10:22" hidden="1" x14ac:dyDescent="0.25">
      <c r="J207" s="16">
        <v>3424</v>
      </c>
      <c r="K207" s="16" t="s">
        <v>55</v>
      </c>
      <c r="L207" s="16" t="s">
        <v>166</v>
      </c>
      <c r="M207" s="17">
        <v>45541</v>
      </c>
      <c r="N207" s="16" t="s">
        <v>46</v>
      </c>
      <c r="O207" s="18">
        <v>5</v>
      </c>
      <c r="P207" s="16" t="s">
        <v>54</v>
      </c>
      <c r="Q207" s="16" t="s">
        <v>49</v>
      </c>
      <c r="R207" s="18" t="s">
        <v>167</v>
      </c>
      <c r="S207" s="16" t="s">
        <v>49</v>
      </c>
      <c r="T207" s="18">
        <v>0</v>
      </c>
      <c r="U207" s="18">
        <v>0</v>
      </c>
      <c r="V207" s="18">
        <v>5</v>
      </c>
    </row>
    <row r="208" spans="10:22" x14ac:dyDescent="0.25">
      <c r="J208" s="16">
        <v>3425</v>
      </c>
      <c r="K208" s="16" t="s">
        <v>112</v>
      </c>
      <c r="L208" s="16" t="s">
        <v>45</v>
      </c>
      <c r="M208" s="17">
        <v>45542</v>
      </c>
      <c r="N208" s="16" t="s">
        <v>49</v>
      </c>
      <c r="O208" s="18">
        <v>15</v>
      </c>
      <c r="P208" s="16" t="s">
        <v>47</v>
      </c>
      <c r="Q208" s="16" t="s">
        <v>46</v>
      </c>
      <c r="R208" s="18">
        <v>30</v>
      </c>
      <c r="S208" s="16" t="s">
        <v>46</v>
      </c>
      <c r="T208" s="18">
        <v>20</v>
      </c>
      <c r="U208" s="18">
        <v>20</v>
      </c>
      <c r="V208" s="18">
        <v>45</v>
      </c>
    </row>
    <row r="209" spans="10:22" hidden="1" x14ac:dyDescent="0.25">
      <c r="J209" s="16">
        <v>3426</v>
      </c>
      <c r="K209" s="16" t="s">
        <v>279</v>
      </c>
      <c r="L209" s="16" t="s">
        <v>169</v>
      </c>
      <c r="M209" s="17">
        <v>45543</v>
      </c>
      <c r="N209" s="16" t="s">
        <v>46</v>
      </c>
      <c r="O209" s="18">
        <v>10</v>
      </c>
      <c r="P209" s="16" t="s">
        <v>51</v>
      </c>
      <c r="Q209" s="16" t="s">
        <v>49</v>
      </c>
      <c r="R209" s="18" t="s">
        <v>167</v>
      </c>
      <c r="S209" s="16" t="s">
        <v>46</v>
      </c>
      <c r="T209" s="18">
        <v>20</v>
      </c>
      <c r="U209" s="18">
        <v>15</v>
      </c>
      <c r="V209" s="18">
        <v>15</v>
      </c>
    </row>
    <row r="210" spans="10:22" hidden="1" x14ac:dyDescent="0.25">
      <c r="J210" s="16">
        <v>3427</v>
      </c>
      <c r="K210" s="16" t="s">
        <v>293</v>
      </c>
      <c r="L210" s="16" t="s">
        <v>166</v>
      </c>
      <c r="M210" s="17">
        <v>45544</v>
      </c>
      <c r="N210" s="16" t="s">
        <v>49</v>
      </c>
      <c r="O210" s="18">
        <v>5</v>
      </c>
      <c r="P210" s="16" t="s">
        <v>47</v>
      </c>
      <c r="Q210" s="16" t="s">
        <v>49</v>
      </c>
      <c r="R210" s="18" t="s">
        <v>167</v>
      </c>
      <c r="S210" s="16" t="s">
        <v>49</v>
      </c>
      <c r="T210" s="18">
        <v>0</v>
      </c>
      <c r="U210" s="18">
        <v>1</v>
      </c>
      <c r="V210" s="18">
        <v>4</v>
      </c>
    </row>
    <row r="211" spans="10:22" hidden="1" x14ac:dyDescent="0.25">
      <c r="J211" s="16">
        <v>3428</v>
      </c>
      <c r="K211" s="16" t="s">
        <v>113</v>
      </c>
      <c r="L211" s="16" t="s">
        <v>45</v>
      </c>
      <c r="M211" s="17">
        <v>45545</v>
      </c>
      <c r="N211" s="16" t="s">
        <v>46</v>
      </c>
      <c r="O211" s="18">
        <v>15</v>
      </c>
      <c r="P211" s="16" t="s">
        <v>54</v>
      </c>
      <c r="Q211" s="16" t="s">
        <v>46</v>
      </c>
      <c r="R211" s="18">
        <v>30</v>
      </c>
      <c r="S211" s="16" t="s">
        <v>46</v>
      </c>
      <c r="T211" s="18">
        <v>20</v>
      </c>
      <c r="U211" s="18">
        <v>3</v>
      </c>
      <c r="V211" s="18">
        <v>62</v>
      </c>
    </row>
    <row r="212" spans="10:22" hidden="1" x14ac:dyDescent="0.25">
      <c r="J212" s="16">
        <v>3429</v>
      </c>
      <c r="K212" s="16" t="s">
        <v>294</v>
      </c>
      <c r="L212" s="16" t="s">
        <v>169</v>
      </c>
      <c r="M212" s="17">
        <v>45546</v>
      </c>
      <c r="N212" s="16" t="s">
        <v>49</v>
      </c>
      <c r="O212" s="18">
        <v>10</v>
      </c>
      <c r="P212" s="16" t="s">
        <v>47</v>
      </c>
      <c r="Q212" s="16" t="s">
        <v>49</v>
      </c>
      <c r="R212" s="18" t="s">
        <v>167</v>
      </c>
      <c r="S212" s="16" t="s">
        <v>46</v>
      </c>
      <c r="T212" s="18">
        <v>20</v>
      </c>
      <c r="U212" s="18">
        <v>10</v>
      </c>
      <c r="V212" s="18">
        <v>20</v>
      </c>
    </row>
    <row r="213" spans="10:22" hidden="1" x14ac:dyDescent="0.25">
      <c r="J213" s="16">
        <v>3430</v>
      </c>
      <c r="K213" s="16" t="s">
        <v>295</v>
      </c>
      <c r="L213" s="16" t="s">
        <v>166</v>
      </c>
      <c r="M213" s="17">
        <v>45547</v>
      </c>
      <c r="N213" s="16" t="s">
        <v>46</v>
      </c>
      <c r="O213" s="18">
        <v>5</v>
      </c>
      <c r="P213" s="16" t="s">
        <v>51</v>
      </c>
      <c r="Q213" s="16" t="s">
        <v>49</v>
      </c>
      <c r="R213" s="18" t="s">
        <v>167</v>
      </c>
      <c r="S213" s="16" t="s">
        <v>49</v>
      </c>
      <c r="T213" s="18">
        <v>0</v>
      </c>
      <c r="U213" s="18">
        <v>0</v>
      </c>
      <c r="V213" s="18">
        <v>5</v>
      </c>
    </row>
    <row r="214" spans="10:22" x14ac:dyDescent="0.25">
      <c r="J214" s="16">
        <v>3431</v>
      </c>
      <c r="K214" s="16" t="s">
        <v>114</v>
      </c>
      <c r="L214" s="16" t="s">
        <v>45</v>
      </c>
      <c r="M214" s="17">
        <v>45548</v>
      </c>
      <c r="N214" s="16" t="s">
        <v>49</v>
      </c>
      <c r="O214" s="18">
        <v>15</v>
      </c>
      <c r="P214" s="16" t="s">
        <v>47</v>
      </c>
      <c r="Q214" s="16" t="s">
        <v>46</v>
      </c>
      <c r="R214" s="18">
        <v>30</v>
      </c>
      <c r="S214" s="16" t="s">
        <v>46</v>
      </c>
      <c r="T214" s="18">
        <v>20</v>
      </c>
      <c r="U214" s="18">
        <v>15</v>
      </c>
      <c r="V214" s="18">
        <v>50</v>
      </c>
    </row>
    <row r="215" spans="10:22" hidden="1" x14ac:dyDescent="0.25">
      <c r="J215" s="16">
        <v>3432</v>
      </c>
      <c r="K215" s="16" t="s">
        <v>296</v>
      </c>
      <c r="L215" s="16" t="s">
        <v>169</v>
      </c>
      <c r="M215" s="17">
        <v>45549</v>
      </c>
      <c r="N215" s="16" t="s">
        <v>46</v>
      </c>
      <c r="O215" s="18">
        <v>10</v>
      </c>
      <c r="P215" s="16" t="s">
        <v>54</v>
      </c>
      <c r="Q215" s="16" t="s">
        <v>49</v>
      </c>
      <c r="R215" s="18" t="s">
        <v>167</v>
      </c>
      <c r="S215" s="16" t="s">
        <v>46</v>
      </c>
      <c r="T215" s="18">
        <v>20</v>
      </c>
      <c r="U215" s="18">
        <v>15</v>
      </c>
      <c r="V215" s="18">
        <v>15</v>
      </c>
    </row>
    <row r="216" spans="10:22" hidden="1" x14ac:dyDescent="0.25">
      <c r="J216" s="16">
        <v>3433</v>
      </c>
      <c r="K216" s="16" t="s">
        <v>297</v>
      </c>
      <c r="L216" s="16" t="s">
        <v>166</v>
      </c>
      <c r="M216" s="17">
        <v>45550</v>
      </c>
      <c r="N216" s="16" t="s">
        <v>49</v>
      </c>
      <c r="O216" s="18">
        <v>5</v>
      </c>
      <c r="P216" s="16" t="s">
        <v>47</v>
      </c>
      <c r="Q216" s="16" t="s">
        <v>49</v>
      </c>
      <c r="R216" s="18" t="s">
        <v>167</v>
      </c>
      <c r="S216" s="16" t="s">
        <v>49</v>
      </c>
      <c r="T216" s="18">
        <v>0</v>
      </c>
      <c r="U216" s="18">
        <v>1</v>
      </c>
      <c r="V216" s="18">
        <v>4</v>
      </c>
    </row>
    <row r="217" spans="10:22" hidden="1" x14ac:dyDescent="0.25">
      <c r="J217" s="16">
        <v>3434</v>
      </c>
      <c r="K217" s="16" t="s">
        <v>115</v>
      </c>
      <c r="L217" s="16" t="s">
        <v>45</v>
      </c>
      <c r="M217" s="17">
        <v>45551</v>
      </c>
      <c r="N217" s="16" t="s">
        <v>46</v>
      </c>
      <c r="O217" s="18">
        <v>15</v>
      </c>
      <c r="P217" s="16" t="s">
        <v>51</v>
      </c>
      <c r="Q217" s="16" t="s">
        <v>46</v>
      </c>
      <c r="R217" s="18">
        <v>30</v>
      </c>
      <c r="S217" s="16" t="s">
        <v>46</v>
      </c>
      <c r="T217" s="18">
        <v>20</v>
      </c>
      <c r="U217" s="18">
        <v>7</v>
      </c>
      <c r="V217" s="18">
        <v>58</v>
      </c>
    </row>
    <row r="218" spans="10:22" hidden="1" x14ac:dyDescent="0.25">
      <c r="J218" s="16">
        <v>3435</v>
      </c>
      <c r="K218" s="16" t="s">
        <v>298</v>
      </c>
      <c r="L218" s="16" t="s">
        <v>169</v>
      </c>
      <c r="M218" s="17">
        <v>45552</v>
      </c>
      <c r="N218" s="16" t="s">
        <v>49</v>
      </c>
      <c r="O218" s="18">
        <v>10</v>
      </c>
      <c r="P218" s="16" t="s">
        <v>47</v>
      </c>
      <c r="Q218" s="16" t="s">
        <v>49</v>
      </c>
      <c r="R218" s="18" t="s">
        <v>167</v>
      </c>
      <c r="S218" s="16" t="s">
        <v>46</v>
      </c>
      <c r="T218" s="18">
        <v>20</v>
      </c>
      <c r="U218" s="18">
        <v>10</v>
      </c>
      <c r="V218" s="18">
        <v>20</v>
      </c>
    </row>
    <row r="219" spans="10:22" hidden="1" x14ac:dyDescent="0.25">
      <c r="J219" s="16">
        <v>3436</v>
      </c>
      <c r="K219" s="16" t="s">
        <v>299</v>
      </c>
      <c r="L219" s="16" t="s">
        <v>166</v>
      </c>
      <c r="M219" s="17">
        <v>45553</v>
      </c>
      <c r="N219" s="16" t="s">
        <v>46</v>
      </c>
      <c r="O219" s="18">
        <v>5</v>
      </c>
      <c r="P219" s="16" t="s">
        <v>47</v>
      </c>
      <c r="Q219" s="16" t="s">
        <v>49</v>
      </c>
      <c r="R219" s="18" t="s">
        <v>167</v>
      </c>
      <c r="S219" s="16" t="s">
        <v>49</v>
      </c>
      <c r="T219" s="18">
        <v>0</v>
      </c>
      <c r="U219" s="18">
        <v>0</v>
      </c>
      <c r="V219" s="18">
        <v>5</v>
      </c>
    </row>
    <row r="220" spans="10:22" hidden="1" x14ac:dyDescent="0.25">
      <c r="J220" s="16">
        <v>3437</v>
      </c>
      <c r="K220" s="16" t="s">
        <v>116</v>
      </c>
      <c r="L220" s="16" t="s">
        <v>45</v>
      </c>
      <c r="M220" s="17">
        <v>45554</v>
      </c>
      <c r="N220" s="16" t="s">
        <v>49</v>
      </c>
      <c r="O220" s="18">
        <v>15</v>
      </c>
      <c r="P220" s="16" t="s">
        <v>51</v>
      </c>
      <c r="Q220" s="16" t="s">
        <v>46</v>
      </c>
      <c r="R220" s="18">
        <v>30</v>
      </c>
      <c r="S220" s="16" t="s">
        <v>46</v>
      </c>
      <c r="T220" s="18">
        <v>20</v>
      </c>
      <c r="U220" s="18">
        <v>7</v>
      </c>
      <c r="V220" s="18">
        <v>58</v>
      </c>
    </row>
    <row r="221" spans="10:22" hidden="1" x14ac:dyDescent="0.25">
      <c r="J221" s="16">
        <v>3438</v>
      </c>
      <c r="K221" s="16" t="s">
        <v>300</v>
      </c>
      <c r="L221" s="16" t="s">
        <v>169</v>
      </c>
      <c r="M221" s="17">
        <v>45555</v>
      </c>
      <c r="N221" s="16" t="s">
        <v>46</v>
      </c>
      <c r="O221" s="18">
        <v>10</v>
      </c>
      <c r="P221" s="16" t="s">
        <v>54</v>
      </c>
      <c r="Q221" s="16" t="s">
        <v>49</v>
      </c>
      <c r="R221" s="18" t="s">
        <v>167</v>
      </c>
      <c r="S221" s="16" t="s">
        <v>46</v>
      </c>
      <c r="T221" s="18">
        <v>20</v>
      </c>
      <c r="U221" s="18">
        <v>10</v>
      </c>
      <c r="V221" s="18">
        <v>20</v>
      </c>
    </row>
    <row r="222" spans="10:22" hidden="1" x14ac:dyDescent="0.25">
      <c r="J222" s="16">
        <v>3439</v>
      </c>
      <c r="K222" s="16" t="s">
        <v>301</v>
      </c>
      <c r="L222" s="16" t="s">
        <v>166</v>
      </c>
      <c r="M222" s="17">
        <v>45556</v>
      </c>
      <c r="N222" s="16" t="s">
        <v>49</v>
      </c>
      <c r="O222" s="18">
        <v>5</v>
      </c>
      <c r="P222" s="16" t="s">
        <v>51</v>
      </c>
      <c r="Q222" s="16" t="s">
        <v>49</v>
      </c>
      <c r="R222" s="18" t="s">
        <v>167</v>
      </c>
      <c r="S222" s="16" t="s">
        <v>49</v>
      </c>
      <c r="T222" s="18">
        <v>0</v>
      </c>
      <c r="U222" s="18">
        <v>1</v>
      </c>
      <c r="V222" s="18">
        <v>4</v>
      </c>
    </row>
    <row r="223" spans="10:22" x14ac:dyDescent="0.25">
      <c r="J223" s="16">
        <v>3440</v>
      </c>
      <c r="K223" s="16" t="s">
        <v>117</v>
      </c>
      <c r="L223" s="16" t="s">
        <v>45</v>
      </c>
      <c r="M223" s="17">
        <v>45557</v>
      </c>
      <c r="N223" s="16" t="s">
        <v>46</v>
      </c>
      <c r="O223" s="18">
        <v>15</v>
      </c>
      <c r="P223" s="16" t="s">
        <v>47</v>
      </c>
      <c r="Q223" s="16" t="s">
        <v>46</v>
      </c>
      <c r="R223" s="18">
        <v>30</v>
      </c>
      <c r="S223" s="16" t="s">
        <v>46</v>
      </c>
      <c r="T223" s="18">
        <v>20</v>
      </c>
      <c r="U223" s="18">
        <v>15</v>
      </c>
      <c r="V223" s="18">
        <v>50</v>
      </c>
    </row>
    <row r="224" spans="10:22" hidden="1" x14ac:dyDescent="0.25">
      <c r="J224" s="16">
        <v>3441</v>
      </c>
      <c r="K224" s="16" t="s">
        <v>302</v>
      </c>
      <c r="L224" s="16" t="s">
        <v>169</v>
      </c>
      <c r="M224" s="17">
        <v>45558</v>
      </c>
      <c r="N224" s="16" t="s">
        <v>49</v>
      </c>
      <c r="O224" s="18">
        <v>10</v>
      </c>
      <c r="P224" s="16" t="s">
        <v>47</v>
      </c>
      <c r="Q224" s="16" t="s">
        <v>49</v>
      </c>
      <c r="R224" s="18" t="s">
        <v>167</v>
      </c>
      <c r="S224" s="16" t="s">
        <v>46</v>
      </c>
      <c r="T224" s="18">
        <v>20</v>
      </c>
      <c r="U224" s="18">
        <v>5</v>
      </c>
      <c r="V224" s="18">
        <v>25</v>
      </c>
    </row>
    <row r="225" spans="10:22" hidden="1" x14ac:dyDescent="0.25">
      <c r="J225" s="16">
        <v>3442</v>
      </c>
      <c r="K225" s="16" t="s">
        <v>303</v>
      </c>
      <c r="L225" s="16" t="s">
        <v>166</v>
      </c>
      <c r="M225" s="17">
        <v>45559</v>
      </c>
      <c r="N225" s="16" t="s">
        <v>46</v>
      </c>
      <c r="O225" s="18">
        <v>5</v>
      </c>
      <c r="P225" s="16" t="s">
        <v>54</v>
      </c>
      <c r="Q225" s="16" t="s">
        <v>49</v>
      </c>
      <c r="R225" s="18" t="s">
        <v>167</v>
      </c>
      <c r="S225" s="16" t="s">
        <v>49</v>
      </c>
      <c r="T225" s="18">
        <v>0</v>
      </c>
      <c r="U225" s="18">
        <v>0</v>
      </c>
      <c r="V225" s="18">
        <v>5</v>
      </c>
    </row>
    <row r="226" spans="10:22" hidden="1" x14ac:dyDescent="0.25">
      <c r="J226" s="16">
        <v>3443</v>
      </c>
      <c r="K226" s="16" t="s">
        <v>118</v>
      </c>
      <c r="L226" s="16" t="s">
        <v>45</v>
      </c>
      <c r="M226" s="17">
        <v>45560</v>
      </c>
      <c r="N226" s="16" t="s">
        <v>49</v>
      </c>
      <c r="O226" s="18">
        <v>15</v>
      </c>
      <c r="P226" s="16" t="s">
        <v>51</v>
      </c>
      <c r="Q226" s="16" t="s">
        <v>46</v>
      </c>
      <c r="R226" s="18">
        <v>30</v>
      </c>
      <c r="S226" s="16" t="s">
        <v>46</v>
      </c>
      <c r="T226" s="18">
        <v>20</v>
      </c>
      <c r="U226" s="18">
        <v>20</v>
      </c>
      <c r="V226" s="18">
        <v>45</v>
      </c>
    </row>
    <row r="227" spans="10:22" hidden="1" x14ac:dyDescent="0.25">
      <c r="J227" s="16">
        <v>3444</v>
      </c>
      <c r="K227" s="16" t="s">
        <v>304</v>
      </c>
      <c r="L227" s="16" t="s">
        <v>169</v>
      </c>
      <c r="M227" s="17">
        <v>45561</v>
      </c>
      <c r="N227" s="16" t="s">
        <v>46</v>
      </c>
      <c r="O227" s="18">
        <v>10</v>
      </c>
      <c r="P227" s="16" t="s">
        <v>51</v>
      </c>
      <c r="Q227" s="16" t="s">
        <v>49</v>
      </c>
      <c r="R227" s="18" t="s">
        <v>167</v>
      </c>
      <c r="S227" s="16" t="s">
        <v>46</v>
      </c>
      <c r="T227" s="18">
        <v>20</v>
      </c>
      <c r="U227" s="18">
        <v>12</v>
      </c>
      <c r="V227" s="18">
        <v>18</v>
      </c>
    </row>
    <row r="228" spans="10:22" hidden="1" x14ac:dyDescent="0.25">
      <c r="J228" s="16">
        <v>3445</v>
      </c>
      <c r="K228" s="16" t="s">
        <v>192</v>
      </c>
      <c r="L228" s="16" t="s">
        <v>166</v>
      </c>
      <c r="M228" s="17">
        <v>45562</v>
      </c>
      <c r="N228" s="16" t="s">
        <v>49</v>
      </c>
      <c r="O228" s="18">
        <v>5</v>
      </c>
      <c r="P228" s="16" t="s">
        <v>47</v>
      </c>
      <c r="Q228" s="16" t="s">
        <v>49</v>
      </c>
      <c r="R228" s="18" t="s">
        <v>167</v>
      </c>
      <c r="S228" s="16" t="s">
        <v>49</v>
      </c>
      <c r="T228" s="18">
        <v>0</v>
      </c>
      <c r="U228" s="18">
        <v>2</v>
      </c>
      <c r="V228" s="18">
        <v>3</v>
      </c>
    </row>
    <row r="229" spans="10:22" hidden="1" x14ac:dyDescent="0.25">
      <c r="J229" s="16">
        <v>3446</v>
      </c>
      <c r="K229" s="16" t="s">
        <v>119</v>
      </c>
      <c r="L229" s="16" t="s">
        <v>45</v>
      </c>
      <c r="M229" s="17">
        <v>45563</v>
      </c>
      <c r="N229" s="16" t="s">
        <v>46</v>
      </c>
      <c r="O229" s="18">
        <v>15</v>
      </c>
      <c r="P229" s="16" t="s">
        <v>54</v>
      </c>
      <c r="Q229" s="16" t="s">
        <v>46</v>
      </c>
      <c r="R229" s="18">
        <v>30</v>
      </c>
      <c r="S229" s="16" t="s">
        <v>46</v>
      </c>
      <c r="T229" s="18">
        <v>20</v>
      </c>
      <c r="U229" s="18">
        <v>5</v>
      </c>
      <c r="V229" s="18">
        <v>60</v>
      </c>
    </row>
    <row r="230" spans="10:22" hidden="1" x14ac:dyDescent="0.25">
      <c r="J230" s="16">
        <v>3447</v>
      </c>
      <c r="K230" s="16" t="s">
        <v>305</v>
      </c>
      <c r="L230" s="16" t="s">
        <v>169</v>
      </c>
      <c r="M230" s="17">
        <v>45564</v>
      </c>
      <c r="N230" s="16" t="s">
        <v>49</v>
      </c>
      <c r="O230" s="18">
        <v>10</v>
      </c>
      <c r="P230" s="16" t="s">
        <v>47</v>
      </c>
      <c r="Q230" s="16" t="s">
        <v>49</v>
      </c>
      <c r="R230" s="18" t="s">
        <v>167</v>
      </c>
      <c r="S230" s="16" t="s">
        <v>46</v>
      </c>
      <c r="T230" s="18">
        <v>20</v>
      </c>
      <c r="U230" s="18">
        <v>10</v>
      </c>
      <c r="V230" s="18">
        <v>20</v>
      </c>
    </row>
    <row r="231" spans="10:22" hidden="1" x14ac:dyDescent="0.25">
      <c r="J231" s="16">
        <v>3448</v>
      </c>
      <c r="K231" s="16" t="s">
        <v>306</v>
      </c>
      <c r="L231" s="16" t="s">
        <v>166</v>
      </c>
      <c r="M231" s="17">
        <v>45565</v>
      </c>
      <c r="N231" s="16" t="s">
        <v>46</v>
      </c>
      <c r="O231" s="18">
        <v>5</v>
      </c>
      <c r="P231" s="16" t="s">
        <v>51</v>
      </c>
      <c r="Q231" s="16" t="s">
        <v>49</v>
      </c>
      <c r="R231" s="18" t="s">
        <v>167</v>
      </c>
      <c r="S231" s="16" t="s">
        <v>49</v>
      </c>
      <c r="T231" s="18">
        <v>0</v>
      </c>
      <c r="U231" s="18">
        <v>0</v>
      </c>
      <c r="V231" s="18">
        <v>5</v>
      </c>
    </row>
    <row r="232" spans="10:22" x14ac:dyDescent="0.25">
      <c r="J232" s="16">
        <v>3449</v>
      </c>
      <c r="K232" s="16" t="s">
        <v>120</v>
      </c>
      <c r="L232" s="16" t="s">
        <v>45</v>
      </c>
      <c r="M232" s="17">
        <v>45566</v>
      </c>
      <c r="N232" s="16" t="s">
        <v>49</v>
      </c>
      <c r="O232" s="18">
        <v>15</v>
      </c>
      <c r="P232" s="16" t="s">
        <v>47</v>
      </c>
      <c r="Q232" s="16" t="s">
        <v>46</v>
      </c>
      <c r="R232" s="18">
        <v>30</v>
      </c>
      <c r="S232" s="16" t="s">
        <v>46</v>
      </c>
      <c r="T232" s="18">
        <v>20</v>
      </c>
      <c r="U232" s="18">
        <v>3</v>
      </c>
      <c r="V232" s="18">
        <v>62</v>
      </c>
    </row>
    <row r="233" spans="10:22" hidden="1" x14ac:dyDescent="0.25">
      <c r="J233" s="16">
        <v>3450</v>
      </c>
      <c r="K233" s="16" t="s">
        <v>307</v>
      </c>
      <c r="L233" s="16" t="s">
        <v>169</v>
      </c>
      <c r="M233" s="17">
        <v>45567</v>
      </c>
      <c r="N233" s="16" t="s">
        <v>46</v>
      </c>
      <c r="O233" s="18">
        <v>10</v>
      </c>
      <c r="P233" s="16" t="s">
        <v>54</v>
      </c>
      <c r="Q233" s="16" t="s">
        <v>49</v>
      </c>
      <c r="R233" s="18" t="s">
        <v>167</v>
      </c>
      <c r="S233" s="16" t="s">
        <v>46</v>
      </c>
      <c r="T233" s="18">
        <v>20</v>
      </c>
      <c r="U233" s="18">
        <v>15</v>
      </c>
      <c r="V233" s="18">
        <v>15</v>
      </c>
    </row>
    <row r="234" spans="10:22" hidden="1" x14ac:dyDescent="0.25">
      <c r="J234" s="16">
        <v>3451</v>
      </c>
      <c r="K234" s="16" t="s">
        <v>308</v>
      </c>
      <c r="L234" s="16" t="s">
        <v>166</v>
      </c>
      <c r="M234" s="17">
        <v>45568</v>
      </c>
      <c r="N234" s="16" t="s">
        <v>49</v>
      </c>
      <c r="O234" s="18">
        <v>5</v>
      </c>
      <c r="P234" s="16" t="s">
        <v>47</v>
      </c>
      <c r="Q234" s="16" t="s">
        <v>49</v>
      </c>
      <c r="R234" s="18" t="s">
        <v>167</v>
      </c>
      <c r="S234" s="16" t="s">
        <v>49</v>
      </c>
      <c r="T234" s="18">
        <v>0</v>
      </c>
      <c r="U234" s="18">
        <v>1</v>
      </c>
      <c r="V234" s="18">
        <v>4</v>
      </c>
    </row>
    <row r="235" spans="10:22" hidden="1" x14ac:dyDescent="0.25">
      <c r="J235" s="16">
        <v>3452</v>
      </c>
      <c r="K235" s="16" t="s">
        <v>113</v>
      </c>
      <c r="L235" s="16" t="s">
        <v>45</v>
      </c>
      <c r="M235" s="17">
        <v>45569</v>
      </c>
      <c r="N235" s="16" t="s">
        <v>46</v>
      </c>
      <c r="O235" s="18">
        <v>15</v>
      </c>
      <c r="P235" s="16" t="s">
        <v>51</v>
      </c>
      <c r="Q235" s="16" t="s">
        <v>46</v>
      </c>
      <c r="R235" s="18">
        <v>30</v>
      </c>
      <c r="S235" s="16" t="s">
        <v>46</v>
      </c>
      <c r="T235" s="18">
        <v>20</v>
      </c>
      <c r="U235" s="18">
        <v>7</v>
      </c>
      <c r="V235" s="18">
        <v>58</v>
      </c>
    </row>
    <row r="236" spans="10:22" hidden="1" x14ac:dyDescent="0.25">
      <c r="J236" s="16">
        <v>3453</v>
      </c>
      <c r="K236" s="16" t="s">
        <v>65</v>
      </c>
      <c r="L236" s="16" t="s">
        <v>169</v>
      </c>
      <c r="M236" s="17">
        <v>45570</v>
      </c>
      <c r="N236" s="16" t="s">
        <v>49</v>
      </c>
      <c r="O236" s="18">
        <v>10</v>
      </c>
      <c r="P236" s="16" t="s">
        <v>47</v>
      </c>
      <c r="Q236" s="16" t="s">
        <v>49</v>
      </c>
      <c r="R236" s="18" t="s">
        <v>167</v>
      </c>
      <c r="S236" s="16" t="s">
        <v>46</v>
      </c>
      <c r="T236" s="18">
        <v>20</v>
      </c>
      <c r="U236" s="18">
        <v>10</v>
      </c>
      <c r="V236" s="18">
        <v>20</v>
      </c>
    </row>
    <row r="237" spans="10:22" hidden="1" x14ac:dyDescent="0.25">
      <c r="J237" s="16">
        <v>3454</v>
      </c>
      <c r="K237" s="16" t="s">
        <v>309</v>
      </c>
      <c r="L237" s="16" t="s">
        <v>166</v>
      </c>
      <c r="M237" s="17">
        <v>45571</v>
      </c>
      <c r="N237" s="16" t="s">
        <v>46</v>
      </c>
      <c r="O237" s="18">
        <v>5</v>
      </c>
      <c r="P237" s="16" t="s">
        <v>54</v>
      </c>
      <c r="Q237" s="16" t="s">
        <v>49</v>
      </c>
      <c r="R237" s="18" t="s">
        <v>167</v>
      </c>
      <c r="S237" s="16" t="s">
        <v>49</v>
      </c>
      <c r="T237" s="18">
        <v>0</v>
      </c>
      <c r="U237" s="18">
        <v>0</v>
      </c>
      <c r="V237" s="18">
        <v>5</v>
      </c>
    </row>
    <row r="238" spans="10:22" x14ac:dyDescent="0.25">
      <c r="J238" s="16">
        <v>3455</v>
      </c>
      <c r="K238" s="16" t="s">
        <v>121</v>
      </c>
      <c r="L238" s="16" t="s">
        <v>45</v>
      </c>
      <c r="M238" s="17">
        <v>45572</v>
      </c>
      <c r="N238" s="16" t="s">
        <v>49</v>
      </c>
      <c r="O238" s="18">
        <v>15</v>
      </c>
      <c r="P238" s="16" t="s">
        <v>47</v>
      </c>
      <c r="Q238" s="16" t="s">
        <v>46</v>
      </c>
      <c r="R238" s="18">
        <v>30</v>
      </c>
      <c r="S238" s="16" t="s">
        <v>46</v>
      </c>
      <c r="T238" s="18">
        <v>20</v>
      </c>
      <c r="U238" s="18">
        <v>20</v>
      </c>
      <c r="V238" s="18">
        <v>45</v>
      </c>
    </row>
    <row r="239" spans="10:22" hidden="1" x14ac:dyDescent="0.25">
      <c r="J239" s="16">
        <v>3456</v>
      </c>
      <c r="K239" s="16" t="s">
        <v>310</v>
      </c>
      <c r="L239" s="16" t="s">
        <v>169</v>
      </c>
      <c r="M239" s="17">
        <v>45573</v>
      </c>
      <c r="N239" s="16" t="s">
        <v>46</v>
      </c>
      <c r="O239" s="18">
        <v>10</v>
      </c>
      <c r="P239" s="16" t="s">
        <v>51</v>
      </c>
      <c r="Q239" s="16" t="s">
        <v>49</v>
      </c>
      <c r="R239" s="18" t="s">
        <v>167</v>
      </c>
      <c r="S239" s="16" t="s">
        <v>46</v>
      </c>
      <c r="T239" s="18">
        <v>20</v>
      </c>
      <c r="U239" s="18">
        <v>15</v>
      </c>
      <c r="V239" s="18">
        <v>15</v>
      </c>
    </row>
    <row r="240" spans="10:22" hidden="1" x14ac:dyDescent="0.25">
      <c r="J240" s="16">
        <v>3457</v>
      </c>
      <c r="K240" s="16" t="s">
        <v>311</v>
      </c>
      <c r="L240" s="16" t="s">
        <v>166</v>
      </c>
      <c r="M240" s="17">
        <v>45574</v>
      </c>
      <c r="N240" s="16" t="s">
        <v>49</v>
      </c>
      <c r="O240" s="18">
        <v>5</v>
      </c>
      <c r="P240" s="16" t="s">
        <v>47</v>
      </c>
      <c r="Q240" s="16" t="s">
        <v>49</v>
      </c>
      <c r="R240" s="18" t="s">
        <v>167</v>
      </c>
      <c r="S240" s="16" t="s">
        <v>49</v>
      </c>
      <c r="T240" s="18">
        <v>0</v>
      </c>
      <c r="U240" s="18">
        <v>1</v>
      </c>
      <c r="V240" s="18">
        <v>4</v>
      </c>
    </row>
    <row r="241" spans="10:22" hidden="1" x14ac:dyDescent="0.25">
      <c r="J241" s="16">
        <v>3458</v>
      </c>
      <c r="K241" s="16" t="s">
        <v>122</v>
      </c>
      <c r="L241" s="16" t="s">
        <v>45</v>
      </c>
      <c r="M241" s="17">
        <v>45575</v>
      </c>
      <c r="N241" s="16" t="s">
        <v>46</v>
      </c>
      <c r="O241" s="18">
        <v>15</v>
      </c>
      <c r="P241" s="16" t="s">
        <v>54</v>
      </c>
      <c r="Q241" s="16" t="s">
        <v>46</v>
      </c>
      <c r="R241" s="18">
        <v>30</v>
      </c>
      <c r="S241" s="16" t="s">
        <v>46</v>
      </c>
      <c r="T241" s="18">
        <v>20</v>
      </c>
      <c r="U241" s="18">
        <v>3</v>
      </c>
      <c r="V241" s="18">
        <v>62</v>
      </c>
    </row>
    <row r="242" spans="10:22" hidden="1" x14ac:dyDescent="0.25">
      <c r="J242" s="16">
        <v>3459</v>
      </c>
      <c r="K242" s="16" t="s">
        <v>312</v>
      </c>
      <c r="L242" s="16" t="s">
        <v>169</v>
      </c>
      <c r="M242" s="17">
        <v>45576</v>
      </c>
      <c r="N242" s="16" t="s">
        <v>49</v>
      </c>
      <c r="O242" s="18">
        <v>10</v>
      </c>
      <c r="P242" s="16" t="s">
        <v>47</v>
      </c>
      <c r="Q242" s="16" t="s">
        <v>49</v>
      </c>
      <c r="R242" s="18" t="s">
        <v>167</v>
      </c>
      <c r="S242" s="16" t="s">
        <v>46</v>
      </c>
      <c r="T242" s="18">
        <v>20</v>
      </c>
      <c r="U242" s="18">
        <v>10</v>
      </c>
      <c r="V242" s="18">
        <v>20</v>
      </c>
    </row>
    <row r="243" spans="10:22" hidden="1" x14ac:dyDescent="0.25">
      <c r="J243" s="16">
        <v>3460</v>
      </c>
      <c r="K243" s="16" t="s">
        <v>252</v>
      </c>
      <c r="L243" s="16" t="s">
        <v>166</v>
      </c>
      <c r="M243" s="17">
        <v>45577</v>
      </c>
      <c r="N243" s="16" t="s">
        <v>46</v>
      </c>
      <c r="O243" s="18">
        <v>5</v>
      </c>
      <c r="P243" s="16" t="s">
        <v>51</v>
      </c>
      <c r="Q243" s="16" t="s">
        <v>49</v>
      </c>
      <c r="R243" s="18" t="s">
        <v>167</v>
      </c>
      <c r="S243" s="16" t="s">
        <v>49</v>
      </c>
      <c r="T243" s="18">
        <v>0</v>
      </c>
      <c r="U243" s="18">
        <v>0</v>
      </c>
      <c r="V243" s="18">
        <v>5</v>
      </c>
    </row>
    <row r="244" spans="10:22" x14ac:dyDescent="0.25">
      <c r="J244" s="16">
        <v>3461</v>
      </c>
      <c r="K244" s="16" t="s">
        <v>123</v>
      </c>
      <c r="L244" s="16" t="s">
        <v>45</v>
      </c>
      <c r="M244" s="17">
        <v>45578</v>
      </c>
      <c r="N244" s="16" t="s">
        <v>49</v>
      </c>
      <c r="O244" s="18">
        <v>15</v>
      </c>
      <c r="P244" s="16" t="s">
        <v>47</v>
      </c>
      <c r="Q244" s="16" t="s">
        <v>46</v>
      </c>
      <c r="R244" s="18">
        <v>30</v>
      </c>
      <c r="S244" s="16" t="s">
        <v>46</v>
      </c>
      <c r="T244" s="18">
        <v>20</v>
      </c>
      <c r="U244" s="18">
        <v>15</v>
      </c>
      <c r="V244" s="18">
        <v>50</v>
      </c>
    </row>
    <row r="245" spans="10:22" hidden="1" x14ac:dyDescent="0.25">
      <c r="J245" s="16">
        <v>3462</v>
      </c>
      <c r="K245" s="16" t="s">
        <v>313</v>
      </c>
      <c r="L245" s="16" t="s">
        <v>169</v>
      </c>
      <c r="M245" s="17">
        <v>45579</v>
      </c>
      <c r="N245" s="16" t="s">
        <v>46</v>
      </c>
      <c r="O245" s="18">
        <v>10</v>
      </c>
      <c r="P245" s="16" t="s">
        <v>54</v>
      </c>
      <c r="Q245" s="16" t="s">
        <v>49</v>
      </c>
      <c r="R245" s="18" t="s">
        <v>167</v>
      </c>
      <c r="S245" s="16" t="s">
        <v>46</v>
      </c>
      <c r="T245" s="18">
        <v>20</v>
      </c>
      <c r="U245" s="18">
        <v>15</v>
      </c>
      <c r="V245" s="18">
        <v>15</v>
      </c>
    </row>
    <row r="246" spans="10:22" hidden="1" x14ac:dyDescent="0.25">
      <c r="J246" s="16">
        <v>3463</v>
      </c>
      <c r="K246" s="16" t="s">
        <v>314</v>
      </c>
      <c r="L246" s="16" t="s">
        <v>166</v>
      </c>
      <c r="M246" s="17">
        <v>45580</v>
      </c>
      <c r="N246" s="16" t="s">
        <v>49</v>
      </c>
      <c r="O246" s="18">
        <v>5</v>
      </c>
      <c r="P246" s="16" t="s">
        <v>47</v>
      </c>
      <c r="Q246" s="16" t="s">
        <v>49</v>
      </c>
      <c r="R246" s="18" t="s">
        <v>167</v>
      </c>
      <c r="S246" s="16" t="s">
        <v>49</v>
      </c>
      <c r="T246" s="18">
        <v>0</v>
      </c>
      <c r="U246" s="18">
        <v>1</v>
      </c>
      <c r="V246" s="18">
        <v>4</v>
      </c>
    </row>
    <row r="247" spans="10:22" hidden="1" x14ac:dyDescent="0.25">
      <c r="J247" s="16">
        <v>3464</v>
      </c>
      <c r="K247" s="16" t="s">
        <v>124</v>
      </c>
      <c r="L247" s="16" t="s">
        <v>45</v>
      </c>
      <c r="M247" s="17">
        <v>45581</v>
      </c>
      <c r="N247" s="16" t="s">
        <v>46</v>
      </c>
      <c r="O247" s="18">
        <v>15</v>
      </c>
      <c r="P247" s="16" t="s">
        <v>51</v>
      </c>
      <c r="Q247" s="16" t="s">
        <v>46</v>
      </c>
      <c r="R247" s="18">
        <v>30</v>
      </c>
      <c r="S247" s="16" t="s">
        <v>46</v>
      </c>
      <c r="T247" s="18">
        <v>20</v>
      </c>
      <c r="U247" s="18">
        <v>7</v>
      </c>
      <c r="V247" s="18">
        <v>58</v>
      </c>
    </row>
    <row r="248" spans="10:22" hidden="1" x14ac:dyDescent="0.25">
      <c r="J248" s="16">
        <v>3465</v>
      </c>
      <c r="K248" s="16" t="s">
        <v>315</v>
      </c>
      <c r="L248" s="16" t="s">
        <v>169</v>
      </c>
      <c r="M248" s="17">
        <v>45582</v>
      </c>
      <c r="N248" s="16" t="s">
        <v>49</v>
      </c>
      <c r="O248" s="18">
        <v>10</v>
      </c>
      <c r="P248" s="16" t="s">
        <v>47</v>
      </c>
      <c r="Q248" s="16" t="s">
        <v>49</v>
      </c>
      <c r="R248" s="18" t="s">
        <v>167</v>
      </c>
      <c r="S248" s="16" t="s">
        <v>46</v>
      </c>
      <c r="T248" s="18">
        <v>20</v>
      </c>
      <c r="U248" s="18">
        <v>10</v>
      </c>
      <c r="V248" s="18">
        <v>20</v>
      </c>
    </row>
    <row r="249" spans="10:22" hidden="1" x14ac:dyDescent="0.25">
      <c r="J249" s="16">
        <v>3466</v>
      </c>
      <c r="K249" s="16" t="s">
        <v>316</v>
      </c>
      <c r="L249" s="16" t="s">
        <v>166</v>
      </c>
      <c r="M249" s="17">
        <v>45583</v>
      </c>
      <c r="N249" s="16" t="s">
        <v>46</v>
      </c>
      <c r="O249" s="18">
        <v>5</v>
      </c>
      <c r="P249" s="16" t="s">
        <v>54</v>
      </c>
      <c r="Q249" s="16" t="s">
        <v>49</v>
      </c>
      <c r="R249" s="18" t="s">
        <v>167</v>
      </c>
      <c r="S249" s="16" t="s">
        <v>49</v>
      </c>
      <c r="T249" s="18">
        <v>0</v>
      </c>
      <c r="U249" s="18">
        <v>0</v>
      </c>
      <c r="V249" s="18">
        <v>5</v>
      </c>
    </row>
    <row r="250" spans="10:22" x14ac:dyDescent="0.25">
      <c r="J250" s="16">
        <v>3467</v>
      </c>
      <c r="K250" s="16" t="s">
        <v>125</v>
      </c>
      <c r="L250" s="16" t="s">
        <v>45</v>
      </c>
      <c r="M250" s="17">
        <v>45584</v>
      </c>
      <c r="N250" s="16" t="s">
        <v>49</v>
      </c>
      <c r="O250" s="18">
        <v>15</v>
      </c>
      <c r="P250" s="16" t="s">
        <v>47</v>
      </c>
      <c r="Q250" s="16" t="s">
        <v>46</v>
      </c>
      <c r="R250" s="18">
        <v>30</v>
      </c>
      <c r="S250" s="16" t="s">
        <v>46</v>
      </c>
      <c r="T250" s="18">
        <v>20</v>
      </c>
      <c r="U250" s="18">
        <v>15</v>
      </c>
      <c r="V250" s="18">
        <v>50</v>
      </c>
    </row>
    <row r="251" spans="10:22" hidden="1" x14ac:dyDescent="0.25">
      <c r="J251" s="16">
        <v>3468</v>
      </c>
      <c r="K251" s="16" t="s">
        <v>317</v>
      </c>
      <c r="L251" s="16" t="s">
        <v>169</v>
      </c>
      <c r="M251" s="17">
        <v>45585</v>
      </c>
      <c r="N251" s="16" t="s">
        <v>46</v>
      </c>
      <c r="O251" s="18">
        <v>10</v>
      </c>
      <c r="P251" s="16" t="s">
        <v>51</v>
      </c>
      <c r="Q251" s="16" t="s">
        <v>49</v>
      </c>
      <c r="R251" s="18" t="s">
        <v>167</v>
      </c>
      <c r="S251" s="16" t="s">
        <v>46</v>
      </c>
      <c r="T251" s="18">
        <v>20</v>
      </c>
      <c r="U251" s="18">
        <v>12</v>
      </c>
      <c r="V251" s="18">
        <v>18</v>
      </c>
    </row>
    <row r="252" spans="10:22" hidden="1" x14ac:dyDescent="0.25">
      <c r="J252" s="16">
        <v>3469</v>
      </c>
      <c r="K252" s="16" t="s">
        <v>318</v>
      </c>
      <c r="L252" s="16" t="s">
        <v>166</v>
      </c>
      <c r="M252" s="17">
        <v>45586</v>
      </c>
      <c r="N252" s="16" t="s">
        <v>49</v>
      </c>
      <c r="O252" s="18">
        <v>5</v>
      </c>
      <c r="P252" s="16" t="s">
        <v>47</v>
      </c>
      <c r="Q252" s="16" t="s">
        <v>49</v>
      </c>
      <c r="R252" s="18" t="s">
        <v>167</v>
      </c>
      <c r="S252" s="16" t="s">
        <v>49</v>
      </c>
      <c r="T252" s="18">
        <v>0</v>
      </c>
      <c r="U252" s="18">
        <v>2</v>
      </c>
      <c r="V252" s="18">
        <v>3</v>
      </c>
    </row>
    <row r="253" spans="10:22" hidden="1" x14ac:dyDescent="0.25">
      <c r="J253" s="16">
        <v>3470</v>
      </c>
      <c r="K253" s="16" t="s">
        <v>126</v>
      </c>
      <c r="L253" s="16" t="s">
        <v>45</v>
      </c>
      <c r="M253" s="17">
        <v>45587</v>
      </c>
      <c r="N253" s="16" t="s">
        <v>46</v>
      </c>
      <c r="O253" s="18">
        <v>15</v>
      </c>
      <c r="P253" s="16" t="s">
        <v>54</v>
      </c>
      <c r="Q253" s="16" t="s">
        <v>46</v>
      </c>
      <c r="R253" s="18">
        <v>30</v>
      </c>
      <c r="S253" s="16" t="s">
        <v>46</v>
      </c>
      <c r="T253" s="18">
        <v>20</v>
      </c>
      <c r="U253" s="18">
        <v>5</v>
      </c>
      <c r="V253" s="18">
        <v>60</v>
      </c>
    </row>
    <row r="254" spans="10:22" hidden="1" x14ac:dyDescent="0.25">
      <c r="J254" s="16">
        <v>3471</v>
      </c>
      <c r="K254" s="16" t="s">
        <v>319</v>
      </c>
      <c r="L254" s="16" t="s">
        <v>169</v>
      </c>
      <c r="M254" s="17">
        <v>45588</v>
      </c>
      <c r="N254" s="16" t="s">
        <v>49</v>
      </c>
      <c r="O254" s="18">
        <v>10</v>
      </c>
      <c r="P254" s="16" t="s">
        <v>47</v>
      </c>
      <c r="Q254" s="16" t="s">
        <v>49</v>
      </c>
      <c r="R254" s="18" t="s">
        <v>167</v>
      </c>
      <c r="S254" s="16" t="s">
        <v>46</v>
      </c>
      <c r="T254" s="18">
        <v>20</v>
      </c>
      <c r="U254" s="18">
        <v>10</v>
      </c>
      <c r="V254" s="18">
        <v>20</v>
      </c>
    </row>
    <row r="255" spans="10:22" hidden="1" x14ac:dyDescent="0.25">
      <c r="J255" s="16">
        <v>3472</v>
      </c>
      <c r="K255" s="16" t="s">
        <v>320</v>
      </c>
      <c r="L255" s="16" t="s">
        <v>166</v>
      </c>
      <c r="M255" s="17">
        <v>45589</v>
      </c>
      <c r="N255" s="16" t="s">
        <v>46</v>
      </c>
      <c r="O255" s="18">
        <v>5</v>
      </c>
      <c r="P255" s="16" t="s">
        <v>51</v>
      </c>
      <c r="Q255" s="16" t="s">
        <v>49</v>
      </c>
      <c r="R255" s="18" t="s">
        <v>167</v>
      </c>
      <c r="S255" s="16" t="s">
        <v>49</v>
      </c>
      <c r="T255" s="18">
        <v>0</v>
      </c>
      <c r="U255" s="18">
        <v>0</v>
      </c>
      <c r="V255" s="18">
        <v>5</v>
      </c>
    </row>
    <row r="256" spans="10:22" x14ac:dyDescent="0.25">
      <c r="J256" s="16">
        <v>3473</v>
      </c>
      <c r="K256" s="16" t="s">
        <v>127</v>
      </c>
      <c r="L256" s="16" t="s">
        <v>45</v>
      </c>
      <c r="M256" s="17">
        <v>45590</v>
      </c>
      <c r="N256" s="16" t="s">
        <v>49</v>
      </c>
      <c r="O256" s="18">
        <v>15</v>
      </c>
      <c r="P256" s="16" t="s">
        <v>47</v>
      </c>
      <c r="Q256" s="16" t="s">
        <v>46</v>
      </c>
      <c r="R256" s="18">
        <v>30</v>
      </c>
      <c r="S256" s="16" t="s">
        <v>46</v>
      </c>
      <c r="T256" s="18">
        <v>20</v>
      </c>
      <c r="U256" s="18">
        <v>3</v>
      </c>
      <c r="V256" s="18">
        <v>62</v>
      </c>
    </row>
    <row r="257" spans="10:22" hidden="1" x14ac:dyDescent="0.25">
      <c r="J257" s="16">
        <v>3474</v>
      </c>
      <c r="K257" s="16" t="s">
        <v>321</v>
      </c>
      <c r="L257" s="16" t="s">
        <v>169</v>
      </c>
      <c r="M257" s="17">
        <v>45591</v>
      </c>
      <c r="N257" s="16" t="s">
        <v>46</v>
      </c>
      <c r="O257" s="18">
        <v>10</v>
      </c>
      <c r="P257" s="16" t="s">
        <v>54</v>
      </c>
      <c r="Q257" s="16" t="s">
        <v>49</v>
      </c>
      <c r="R257" s="18" t="s">
        <v>167</v>
      </c>
      <c r="S257" s="16" t="s">
        <v>46</v>
      </c>
      <c r="T257" s="18">
        <v>20</v>
      </c>
      <c r="U257" s="18">
        <v>15</v>
      </c>
      <c r="V257" s="18">
        <v>15</v>
      </c>
    </row>
    <row r="258" spans="10:22" hidden="1" x14ac:dyDescent="0.25">
      <c r="J258" s="16">
        <v>3475</v>
      </c>
      <c r="K258" s="16" t="s">
        <v>322</v>
      </c>
      <c r="L258" s="16" t="s">
        <v>166</v>
      </c>
      <c r="M258" s="17">
        <v>45592</v>
      </c>
      <c r="N258" s="16" t="s">
        <v>49</v>
      </c>
      <c r="O258" s="18">
        <v>5</v>
      </c>
      <c r="P258" s="16" t="s">
        <v>47</v>
      </c>
      <c r="Q258" s="16" t="s">
        <v>49</v>
      </c>
      <c r="R258" s="18" t="s">
        <v>167</v>
      </c>
      <c r="S258" s="16" t="s">
        <v>49</v>
      </c>
      <c r="T258" s="18">
        <v>0</v>
      </c>
      <c r="U258" s="18">
        <v>1</v>
      </c>
      <c r="V258" s="18">
        <v>4</v>
      </c>
    </row>
    <row r="259" spans="10:22" hidden="1" x14ac:dyDescent="0.25">
      <c r="J259" s="16">
        <v>3476</v>
      </c>
      <c r="K259" s="16" t="s">
        <v>128</v>
      </c>
      <c r="L259" s="16" t="s">
        <v>45</v>
      </c>
      <c r="M259" s="17">
        <v>45593</v>
      </c>
      <c r="N259" s="16" t="s">
        <v>46</v>
      </c>
      <c r="O259" s="18">
        <v>15</v>
      </c>
      <c r="P259" s="16" t="s">
        <v>51</v>
      </c>
      <c r="Q259" s="16" t="s">
        <v>46</v>
      </c>
      <c r="R259" s="18">
        <v>30</v>
      </c>
      <c r="S259" s="16" t="s">
        <v>46</v>
      </c>
      <c r="T259" s="18">
        <v>20</v>
      </c>
      <c r="U259" s="18">
        <v>7</v>
      </c>
      <c r="V259" s="18">
        <v>58</v>
      </c>
    </row>
    <row r="260" spans="10:22" hidden="1" x14ac:dyDescent="0.25">
      <c r="J260" s="16">
        <v>3477</v>
      </c>
      <c r="K260" s="16" t="s">
        <v>323</v>
      </c>
      <c r="L260" s="16" t="s">
        <v>169</v>
      </c>
      <c r="M260" s="17">
        <v>45594</v>
      </c>
      <c r="N260" s="16" t="s">
        <v>49</v>
      </c>
      <c r="O260" s="18">
        <v>10</v>
      </c>
      <c r="P260" s="16" t="s">
        <v>47</v>
      </c>
      <c r="Q260" s="16" t="s">
        <v>49</v>
      </c>
      <c r="R260" s="18" t="s">
        <v>167</v>
      </c>
      <c r="S260" s="16" t="s">
        <v>46</v>
      </c>
      <c r="T260" s="18">
        <v>20</v>
      </c>
      <c r="U260" s="18">
        <v>10</v>
      </c>
      <c r="V260" s="18">
        <v>20</v>
      </c>
    </row>
    <row r="261" spans="10:22" hidden="1" x14ac:dyDescent="0.25">
      <c r="J261" s="16">
        <v>3478</v>
      </c>
      <c r="K261" s="16" t="s">
        <v>324</v>
      </c>
      <c r="L261" s="16" t="s">
        <v>166</v>
      </c>
      <c r="M261" s="17">
        <v>45595</v>
      </c>
      <c r="N261" s="16" t="s">
        <v>46</v>
      </c>
      <c r="O261" s="18">
        <v>5</v>
      </c>
      <c r="P261" s="16" t="s">
        <v>54</v>
      </c>
      <c r="Q261" s="16" t="s">
        <v>49</v>
      </c>
      <c r="R261" s="18" t="s">
        <v>167</v>
      </c>
      <c r="S261" s="16" t="s">
        <v>49</v>
      </c>
      <c r="T261" s="18">
        <v>0</v>
      </c>
      <c r="U261" s="18">
        <v>0</v>
      </c>
      <c r="V261" s="18">
        <v>5</v>
      </c>
    </row>
    <row r="262" spans="10:22" x14ac:dyDescent="0.25">
      <c r="J262" s="16">
        <v>3479</v>
      </c>
      <c r="K262" s="16" t="s">
        <v>129</v>
      </c>
      <c r="L262" s="16" t="s">
        <v>45</v>
      </c>
      <c r="M262" s="17">
        <v>45596</v>
      </c>
      <c r="N262" s="16" t="s">
        <v>49</v>
      </c>
      <c r="O262" s="18">
        <v>15</v>
      </c>
      <c r="P262" s="16" t="s">
        <v>47</v>
      </c>
      <c r="Q262" s="16" t="s">
        <v>46</v>
      </c>
      <c r="R262" s="18">
        <v>30</v>
      </c>
      <c r="S262" s="16" t="s">
        <v>46</v>
      </c>
      <c r="T262" s="18">
        <v>20</v>
      </c>
      <c r="U262" s="18">
        <v>20</v>
      </c>
      <c r="V262" s="18">
        <v>45</v>
      </c>
    </row>
    <row r="263" spans="10:22" hidden="1" x14ac:dyDescent="0.25">
      <c r="J263" s="16">
        <v>3480</v>
      </c>
      <c r="K263" s="16" t="s">
        <v>325</v>
      </c>
      <c r="L263" s="16" t="s">
        <v>169</v>
      </c>
      <c r="M263" s="17">
        <v>45597</v>
      </c>
      <c r="N263" s="16" t="s">
        <v>46</v>
      </c>
      <c r="O263" s="18">
        <v>10</v>
      </c>
      <c r="P263" s="16" t="s">
        <v>51</v>
      </c>
      <c r="Q263" s="16" t="s">
        <v>49</v>
      </c>
      <c r="R263" s="18" t="s">
        <v>167</v>
      </c>
      <c r="S263" s="16" t="s">
        <v>46</v>
      </c>
      <c r="T263" s="18">
        <v>20</v>
      </c>
      <c r="U263" s="18">
        <v>15</v>
      </c>
      <c r="V263" s="18">
        <v>15</v>
      </c>
    </row>
    <row r="264" spans="10:22" hidden="1" x14ac:dyDescent="0.25">
      <c r="J264" s="16">
        <v>3481</v>
      </c>
      <c r="K264" s="16" t="s">
        <v>326</v>
      </c>
      <c r="L264" s="16" t="s">
        <v>166</v>
      </c>
      <c r="M264" s="17">
        <v>45598</v>
      </c>
      <c r="N264" s="16" t="s">
        <v>49</v>
      </c>
      <c r="O264" s="18">
        <v>5</v>
      </c>
      <c r="P264" s="16" t="s">
        <v>47</v>
      </c>
      <c r="Q264" s="16" t="s">
        <v>49</v>
      </c>
      <c r="R264" s="18" t="s">
        <v>167</v>
      </c>
      <c r="S264" s="16" t="s">
        <v>49</v>
      </c>
      <c r="T264" s="18">
        <v>0</v>
      </c>
      <c r="U264" s="18">
        <v>1</v>
      </c>
      <c r="V264" s="18">
        <v>4</v>
      </c>
    </row>
    <row r="265" spans="10:22" hidden="1" x14ac:dyDescent="0.25">
      <c r="J265" s="16">
        <v>3482</v>
      </c>
      <c r="K265" s="16" t="s">
        <v>130</v>
      </c>
      <c r="L265" s="16" t="s">
        <v>45</v>
      </c>
      <c r="M265" s="17">
        <v>45599</v>
      </c>
      <c r="N265" s="16" t="s">
        <v>46</v>
      </c>
      <c r="O265" s="18">
        <v>15</v>
      </c>
      <c r="P265" s="16" t="s">
        <v>54</v>
      </c>
      <c r="Q265" s="16" t="s">
        <v>46</v>
      </c>
      <c r="R265" s="18">
        <v>30</v>
      </c>
      <c r="S265" s="16" t="s">
        <v>46</v>
      </c>
      <c r="T265" s="18">
        <v>20</v>
      </c>
      <c r="U265" s="18">
        <v>3</v>
      </c>
      <c r="V265" s="18">
        <v>62</v>
      </c>
    </row>
    <row r="266" spans="10:22" hidden="1" x14ac:dyDescent="0.25">
      <c r="J266" s="16">
        <v>3483</v>
      </c>
      <c r="K266" s="16" t="s">
        <v>327</v>
      </c>
      <c r="L266" s="16" t="s">
        <v>169</v>
      </c>
      <c r="M266" s="17">
        <v>45600</v>
      </c>
      <c r="N266" s="16" t="s">
        <v>49</v>
      </c>
      <c r="O266" s="18">
        <v>10</v>
      </c>
      <c r="P266" s="16" t="s">
        <v>47</v>
      </c>
      <c r="Q266" s="16" t="s">
        <v>49</v>
      </c>
      <c r="R266" s="18" t="s">
        <v>167</v>
      </c>
      <c r="S266" s="16" t="s">
        <v>46</v>
      </c>
      <c r="T266" s="18">
        <v>20</v>
      </c>
      <c r="U266" s="18">
        <v>10</v>
      </c>
      <c r="V266" s="18">
        <v>20</v>
      </c>
    </row>
    <row r="267" spans="10:22" hidden="1" x14ac:dyDescent="0.25">
      <c r="J267" s="16">
        <v>3484</v>
      </c>
      <c r="K267" s="16" t="s">
        <v>328</v>
      </c>
      <c r="L267" s="16" t="s">
        <v>166</v>
      </c>
      <c r="M267" s="17">
        <v>45601</v>
      </c>
      <c r="N267" s="16" t="s">
        <v>46</v>
      </c>
      <c r="O267" s="18">
        <v>5</v>
      </c>
      <c r="P267" s="16" t="s">
        <v>51</v>
      </c>
      <c r="Q267" s="16" t="s">
        <v>49</v>
      </c>
      <c r="R267" s="18" t="s">
        <v>167</v>
      </c>
      <c r="S267" s="16" t="s">
        <v>49</v>
      </c>
      <c r="T267" s="18">
        <v>0</v>
      </c>
      <c r="U267" s="18">
        <v>0</v>
      </c>
      <c r="V267" s="18">
        <v>5</v>
      </c>
    </row>
    <row r="268" spans="10:22" x14ac:dyDescent="0.25">
      <c r="J268" s="16">
        <v>3485</v>
      </c>
      <c r="K268" s="16" t="s">
        <v>131</v>
      </c>
      <c r="L268" s="16" t="s">
        <v>45</v>
      </c>
      <c r="M268" s="17">
        <v>45602</v>
      </c>
      <c r="N268" s="16" t="s">
        <v>49</v>
      </c>
      <c r="O268" s="18">
        <v>15</v>
      </c>
      <c r="P268" s="16" t="s">
        <v>47</v>
      </c>
      <c r="Q268" s="16" t="s">
        <v>46</v>
      </c>
      <c r="R268" s="18">
        <v>30</v>
      </c>
      <c r="S268" s="16" t="s">
        <v>46</v>
      </c>
      <c r="T268" s="18">
        <v>20</v>
      </c>
      <c r="U268" s="18">
        <v>15</v>
      </c>
      <c r="V268" s="18">
        <v>50</v>
      </c>
    </row>
    <row r="269" spans="10:22" hidden="1" x14ac:dyDescent="0.25">
      <c r="J269" s="16">
        <v>3486</v>
      </c>
      <c r="K269" s="16" t="s">
        <v>329</v>
      </c>
      <c r="L269" s="16" t="s">
        <v>166</v>
      </c>
      <c r="M269" s="17">
        <v>45603</v>
      </c>
      <c r="N269" s="16" t="s">
        <v>46</v>
      </c>
      <c r="O269" s="18">
        <v>5</v>
      </c>
      <c r="P269" s="16" t="s">
        <v>47</v>
      </c>
      <c r="Q269" s="16" t="s">
        <v>49</v>
      </c>
      <c r="R269" s="18" t="s">
        <v>167</v>
      </c>
      <c r="S269" s="16" t="s">
        <v>49</v>
      </c>
      <c r="T269" s="18">
        <v>0</v>
      </c>
      <c r="U269" s="18">
        <v>0</v>
      </c>
      <c r="V269" s="18">
        <v>5</v>
      </c>
    </row>
    <row r="270" spans="10:22" hidden="1" x14ac:dyDescent="0.25">
      <c r="J270" s="16">
        <v>3487</v>
      </c>
      <c r="K270" s="16" t="s">
        <v>132</v>
      </c>
      <c r="L270" s="16" t="s">
        <v>45</v>
      </c>
      <c r="M270" s="17">
        <v>45604</v>
      </c>
      <c r="N270" s="16" t="s">
        <v>49</v>
      </c>
      <c r="O270" s="18">
        <v>15</v>
      </c>
      <c r="P270" s="16" t="s">
        <v>51</v>
      </c>
      <c r="Q270" s="16" t="s">
        <v>46</v>
      </c>
      <c r="R270" s="18">
        <v>30</v>
      </c>
      <c r="S270" s="16" t="s">
        <v>46</v>
      </c>
      <c r="T270" s="18">
        <v>20</v>
      </c>
      <c r="U270" s="18">
        <v>7</v>
      </c>
      <c r="V270" s="18">
        <v>58</v>
      </c>
    </row>
    <row r="271" spans="10:22" hidden="1" x14ac:dyDescent="0.25">
      <c r="J271" s="16">
        <v>3488</v>
      </c>
      <c r="K271" s="16" t="s">
        <v>330</v>
      </c>
      <c r="L271" s="16" t="s">
        <v>169</v>
      </c>
      <c r="M271" s="17">
        <v>45605</v>
      </c>
      <c r="N271" s="16" t="s">
        <v>46</v>
      </c>
      <c r="O271" s="18">
        <v>10</v>
      </c>
      <c r="P271" s="16" t="s">
        <v>54</v>
      </c>
      <c r="Q271" s="16" t="s">
        <v>49</v>
      </c>
      <c r="R271" s="18" t="s">
        <v>167</v>
      </c>
      <c r="S271" s="16" t="s">
        <v>46</v>
      </c>
      <c r="T271" s="18">
        <v>20</v>
      </c>
      <c r="U271" s="18">
        <v>10</v>
      </c>
      <c r="V271" s="18">
        <v>20</v>
      </c>
    </row>
    <row r="272" spans="10:22" hidden="1" x14ac:dyDescent="0.25">
      <c r="J272" s="16">
        <v>3489</v>
      </c>
      <c r="K272" s="16" t="s">
        <v>331</v>
      </c>
      <c r="L272" s="16" t="s">
        <v>166</v>
      </c>
      <c r="M272" s="17">
        <v>45606</v>
      </c>
      <c r="N272" s="16" t="s">
        <v>49</v>
      </c>
      <c r="O272" s="18">
        <v>5</v>
      </c>
      <c r="P272" s="16" t="s">
        <v>51</v>
      </c>
      <c r="Q272" s="16" t="s">
        <v>49</v>
      </c>
      <c r="R272" s="18" t="s">
        <v>167</v>
      </c>
      <c r="S272" s="16" t="s">
        <v>49</v>
      </c>
      <c r="T272" s="18">
        <v>0</v>
      </c>
      <c r="U272" s="18">
        <v>1</v>
      </c>
      <c r="V272" s="18">
        <v>4</v>
      </c>
    </row>
    <row r="273" spans="10:22" x14ac:dyDescent="0.25">
      <c r="J273" s="16">
        <v>3490</v>
      </c>
      <c r="K273" s="16" t="s">
        <v>133</v>
      </c>
      <c r="L273" s="16" t="s">
        <v>45</v>
      </c>
      <c r="M273" s="17">
        <v>45607</v>
      </c>
      <c r="N273" s="16" t="s">
        <v>46</v>
      </c>
      <c r="O273" s="18">
        <v>15</v>
      </c>
      <c r="P273" s="16" t="s">
        <v>47</v>
      </c>
      <c r="Q273" s="16" t="s">
        <v>46</v>
      </c>
      <c r="R273" s="18">
        <v>30</v>
      </c>
      <c r="S273" s="16" t="s">
        <v>46</v>
      </c>
      <c r="T273" s="18">
        <v>20</v>
      </c>
      <c r="U273" s="18">
        <v>15</v>
      </c>
      <c r="V273" s="18">
        <v>50</v>
      </c>
    </row>
    <row r="274" spans="10:22" hidden="1" x14ac:dyDescent="0.25">
      <c r="J274" s="16">
        <v>3491</v>
      </c>
      <c r="K274" s="16" t="s">
        <v>332</v>
      </c>
      <c r="L274" s="16" t="s">
        <v>169</v>
      </c>
      <c r="M274" s="17">
        <v>45608</v>
      </c>
      <c r="N274" s="16" t="s">
        <v>49</v>
      </c>
      <c r="O274" s="18">
        <v>10</v>
      </c>
      <c r="P274" s="16" t="s">
        <v>47</v>
      </c>
      <c r="Q274" s="16" t="s">
        <v>49</v>
      </c>
      <c r="R274" s="18" t="s">
        <v>167</v>
      </c>
      <c r="S274" s="16" t="s">
        <v>46</v>
      </c>
      <c r="T274" s="18">
        <v>20</v>
      </c>
      <c r="U274" s="18">
        <v>5</v>
      </c>
      <c r="V274" s="18">
        <v>25</v>
      </c>
    </row>
    <row r="275" spans="10:22" hidden="1" x14ac:dyDescent="0.25">
      <c r="J275" s="16">
        <v>3492</v>
      </c>
      <c r="K275" s="16" t="s">
        <v>333</v>
      </c>
      <c r="L275" s="16" t="s">
        <v>166</v>
      </c>
      <c r="M275" s="17">
        <v>45609</v>
      </c>
      <c r="N275" s="16" t="s">
        <v>46</v>
      </c>
      <c r="O275" s="18">
        <v>5</v>
      </c>
      <c r="P275" s="16" t="s">
        <v>54</v>
      </c>
      <c r="Q275" s="16" t="s">
        <v>49</v>
      </c>
      <c r="R275" s="18" t="s">
        <v>167</v>
      </c>
      <c r="S275" s="16" t="s">
        <v>49</v>
      </c>
      <c r="T275" s="18">
        <v>0</v>
      </c>
      <c r="U275" s="18">
        <v>0</v>
      </c>
      <c r="V275" s="18">
        <v>5</v>
      </c>
    </row>
    <row r="276" spans="10:22" hidden="1" x14ac:dyDescent="0.25">
      <c r="J276" s="16">
        <v>3493</v>
      </c>
      <c r="K276" s="16" t="s">
        <v>134</v>
      </c>
      <c r="L276" s="16" t="s">
        <v>45</v>
      </c>
      <c r="M276" s="17">
        <v>45610</v>
      </c>
      <c r="N276" s="16" t="s">
        <v>49</v>
      </c>
      <c r="O276" s="18">
        <v>15</v>
      </c>
      <c r="P276" s="16" t="s">
        <v>51</v>
      </c>
      <c r="Q276" s="16" t="s">
        <v>46</v>
      </c>
      <c r="R276" s="18">
        <v>30</v>
      </c>
      <c r="S276" s="16" t="s">
        <v>46</v>
      </c>
      <c r="T276" s="18">
        <v>20</v>
      </c>
      <c r="U276" s="18">
        <v>20</v>
      </c>
      <c r="V276" s="18">
        <v>45</v>
      </c>
    </row>
    <row r="277" spans="10:22" hidden="1" x14ac:dyDescent="0.25">
      <c r="J277" s="16">
        <v>3494</v>
      </c>
      <c r="K277" s="16" t="s">
        <v>334</v>
      </c>
      <c r="L277" s="16" t="s">
        <v>169</v>
      </c>
      <c r="M277" s="17">
        <v>45611</v>
      </c>
      <c r="N277" s="16" t="s">
        <v>46</v>
      </c>
      <c r="O277" s="18">
        <v>10</v>
      </c>
      <c r="P277" s="16" t="s">
        <v>51</v>
      </c>
      <c r="Q277" s="16" t="s">
        <v>49</v>
      </c>
      <c r="R277" s="18" t="s">
        <v>167</v>
      </c>
      <c r="S277" s="16" t="s">
        <v>46</v>
      </c>
      <c r="T277" s="18">
        <v>20</v>
      </c>
      <c r="U277" s="18">
        <v>12</v>
      </c>
      <c r="V277" s="18">
        <v>18</v>
      </c>
    </row>
    <row r="278" spans="10:22" hidden="1" x14ac:dyDescent="0.25">
      <c r="J278" s="16">
        <v>3495</v>
      </c>
      <c r="K278" s="16" t="s">
        <v>335</v>
      </c>
      <c r="L278" s="16" t="s">
        <v>166</v>
      </c>
      <c r="M278" s="17">
        <v>45612</v>
      </c>
      <c r="N278" s="16" t="s">
        <v>49</v>
      </c>
      <c r="O278" s="18">
        <v>5</v>
      </c>
      <c r="P278" s="16" t="s">
        <v>47</v>
      </c>
      <c r="Q278" s="16" t="s">
        <v>49</v>
      </c>
      <c r="R278" s="18" t="s">
        <v>167</v>
      </c>
      <c r="S278" s="16" t="s">
        <v>49</v>
      </c>
      <c r="T278" s="18">
        <v>0</v>
      </c>
      <c r="U278" s="18">
        <v>2</v>
      </c>
      <c r="V278" s="18">
        <v>3</v>
      </c>
    </row>
    <row r="279" spans="10:22" hidden="1" x14ac:dyDescent="0.25">
      <c r="J279" s="16">
        <v>3496</v>
      </c>
      <c r="K279" s="16" t="s">
        <v>135</v>
      </c>
      <c r="L279" s="16" t="s">
        <v>45</v>
      </c>
      <c r="M279" s="17">
        <v>45613</v>
      </c>
      <c r="N279" s="16" t="s">
        <v>46</v>
      </c>
      <c r="O279" s="18">
        <v>15</v>
      </c>
      <c r="P279" s="16" t="s">
        <v>54</v>
      </c>
      <c r="Q279" s="16" t="s">
        <v>46</v>
      </c>
      <c r="R279" s="18">
        <v>30</v>
      </c>
      <c r="S279" s="16" t="s">
        <v>46</v>
      </c>
      <c r="T279" s="18">
        <v>20</v>
      </c>
      <c r="U279" s="18">
        <v>5</v>
      </c>
      <c r="V279" s="18">
        <v>60</v>
      </c>
    </row>
    <row r="280" spans="10:22" hidden="1" x14ac:dyDescent="0.25">
      <c r="J280" s="16">
        <v>3497</v>
      </c>
      <c r="K280" s="16" t="s">
        <v>336</v>
      </c>
      <c r="L280" s="16" t="s">
        <v>169</v>
      </c>
      <c r="M280" s="17">
        <v>45614</v>
      </c>
      <c r="N280" s="16" t="s">
        <v>49</v>
      </c>
      <c r="O280" s="18">
        <v>10</v>
      </c>
      <c r="P280" s="16" t="s">
        <v>47</v>
      </c>
      <c r="Q280" s="16" t="s">
        <v>49</v>
      </c>
      <c r="R280" s="18" t="s">
        <v>167</v>
      </c>
      <c r="S280" s="16" t="s">
        <v>46</v>
      </c>
      <c r="T280" s="18">
        <v>20</v>
      </c>
      <c r="U280" s="18">
        <v>10</v>
      </c>
      <c r="V280" s="18">
        <v>20</v>
      </c>
    </row>
    <row r="281" spans="10:22" hidden="1" x14ac:dyDescent="0.25">
      <c r="J281" s="16">
        <v>3498</v>
      </c>
      <c r="K281" s="16" t="s">
        <v>337</v>
      </c>
      <c r="L281" s="16" t="s">
        <v>166</v>
      </c>
      <c r="M281" s="17">
        <v>45615</v>
      </c>
      <c r="N281" s="16" t="s">
        <v>46</v>
      </c>
      <c r="O281" s="18">
        <v>5</v>
      </c>
      <c r="P281" s="16" t="s">
        <v>51</v>
      </c>
      <c r="Q281" s="16" t="s">
        <v>49</v>
      </c>
      <c r="R281" s="18" t="s">
        <v>167</v>
      </c>
      <c r="S281" s="16" t="s">
        <v>49</v>
      </c>
      <c r="T281" s="18">
        <v>0</v>
      </c>
      <c r="U281" s="18">
        <v>0</v>
      </c>
      <c r="V281" s="18">
        <v>5</v>
      </c>
    </row>
    <row r="282" spans="10:22" x14ac:dyDescent="0.25">
      <c r="J282" s="16">
        <v>3499</v>
      </c>
      <c r="K282" s="16" t="s">
        <v>136</v>
      </c>
      <c r="L282" s="16" t="s">
        <v>45</v>
      </c>
      <c r="M282" s="17">
        <v>45616</v>
      </c>
      <c r="N282" s="16" t="s">
        <v>49</v>
      </c>
      <c r="O282" s="18">
        <v>15</v>
      </c>
      <c r="P282" s="16" t="s">
        <v>47</v>
      </c>
      <c r="Q282" s="16" t="s">
        <v>46</v>
      </c>
      <c r="R282" s="18">
        <v>30</v>
      </c>
      <c r="S282" s="16" t="s">
        <v>46</v>
      </c>
      <c r="T282" s="18">
        <v>20</v>
      </c>
      <c r="U282" s="18">
        <v>3</v>
      </c>
      <c r="V282" s="18">
        <v>62</v>
      </c>
    </row>
    <row r="283" spans="10:22" hidden="1" x14ac:dyDescent="0.25">
      <c r="J283" s="16">
        <v>3500</v>
      </c>
      <c r="K283" s="16" t="s">
        <v>338</v>
      </c>
      <c r="L283" s="16" t="s">
        <v>169</v>
      </c>
      <c r="M283" s="17">
        <v>45617</v>
      </c>
      <c r="N283" s="16" t="s">
        <v>46</v>
      </c>
      <c r="O283" s="18">
        <v>10</v>
      </c>
      <c r="P283" s="16" t="s">
        <v>54</v>
      </c>
      <c r="Q283" s="16" t="s">
        <v>49</v>
      </c>
      <c r="R283" s="18" t="s">
        <v>167</v>
      </c>
      <c r="S283" s="16" t="s">
        <v>46</v>
      </c>
      <c r="T283" s="18">
        <v>20</v>
      </c>
      <c r="U283" s="18">
        <v>15</v>
      </c>
      <c r="V283" s="18">
        <v>15</v>
      </c>
    </row>
    <row r="284" spans="10:22" hidden="1" x14ac:dyDescent="0.25">
      <c r="J284" s="16">
        <v>3501</v>
      </c>
      <c r="K284" s="16" t="s">
        <v>339</v>
      </c>
      <c r="L284" s="16" t="s">
        <v>166</v>
      </c>
      <c r="M284" s="17">
        <v>45618</v>
      </c>
      <c r="N284" s="16" t="s">
        <v>49</v>
      </c>
      <c r="O284" s="18">
        <v>5</v>
      </c>
      <c r="P284" s="16" t="s">
        <v>47</v>
      </c>
      <c r="Q284" s="16" t="s">
        <v>49</v>
      </c>
      <c r="R284" s="18" t="s">
        <v>167</v>
      </c>
      <c r="S284" s="16" t="s">
        <v>49</v>
      </c>
      <c r="T284" s="18">
        <v>0</v>
      </c>
      <c r="U284" s="18">
        <v>1</v>
      </c>
      <c r="V284" s="18">
        <v>4</v>
      </c>
    </row>
    <row r="285" spans="10:22" hidden="1" x14ac:dyDescent="0.25">
      <c r="J285" s="16">
        <v>3502</v>
      </c>
      <c r="K285" s="16" t="s">
        <v>137</v>
      </c>
      <c r="L285" s="16" t="s">
        <v>45</v>
      </c>
      <c r="M285" s="17">
        <v>45619</v>
      </c>
      <c r="N285" s="16" t="s">
        <v>46</v>
      </c>
      <c r="O285" s="18">
        <v>15</v>
      </c>
      <c r="P285" s="16" t="s">
        <v>51</v>
      </c>
      <c r="Q285" s="16" t="s">
        <v>46</v>
      </c>
      <c r="R285" s="18">
        <v>30</v>
      </c>
      <c r="S285" s="16" t="s">
        <v>46</v>
      </c>
      <c r="T285" s="18">
        <v>20</v>
      </c>
      <c r="U285" s="18">
        <v>7</v>
      </c>
      <c r="V285" s="18">
        <v>58</v>
      </c>
    </row>
    <row r="286" spans="10:22" hidden="1" x14ac:dyDescent="0.25">
      <c r="J286" s="16">
        <v>3503</v>
      </c>
      <c r="K286" s="16" t="s">
        <v>247</v>
      </c>
      <c r="L286" s="16" t="s">
        <v>169</v>
      </c>
      <c r="M286" s="17">
        <v>45620</v>
      </c>
      <c r="N286" s="16" t="s">
        <v>49</v>
      </c>
      <c r="O286" s="18">
        <v>10</v>
      </c>
      <c r="P286" s="16" t="s">
        <v>47</v>
      </c>
      <c r="Q286" s="16" t="s">
        <v>49</v>
      </c>
      <c r="R286" s="18" t="s">
        <v>167</v>
      </c>
      <c r="S286" s="16" t="s">
        <v>46</v>
      </c>
      <c r="T286" s="18">
        <v>20</v>
      </c>
      <c r="U286" s="18">
        <v>10</v>
      </c>
      <c r="V286" s="18">
        <v>20</v>
      </c>
    </row>
    <row r="287" spans="10:22" hidden="1" x14ac:dyDescent="0.25">
      <c r="J287" s="16">
        <v>3504</v>
      </c>
      <c r="K287" s="16" t="s">
        <v>340</v>
      </c>
      <c r="L287" s="16" t="s">
        <v>166</v>
      </c>
      <c r="M287" s="17">
        <v>45621</v>
      </c>
      <c r="N287" s="16" t="s">
        <v>46</v>
      </c>
      <c r="O287" s="18">
        <v>5</v>
      </c>
      <c r="P287" s="16" t="s">
        <v>54</v>
      </c>
      <c r="Q287" s="16" t="s">
        <v>49</v>
      </c>
      <c r="R287" s="18" t="s">
        <v>167</v>
      </c>
      <c r="S287" s="16" t="s">
        <v>49</v>
      </c>
      <c r="T287" s="18">
        <v>0</v>
      </c>
      <c r="U287" s="18">
        <v>0</v>
      </c>
      <c r="V287" s="18">
        <v>5</v>
      </c>
    </row>
    <row r="288" spans="10:22" x14ac:dyDescent="0.25">
      <c r="J288" s="16">
        <v>3505</v>
      </c>
      <c r="K288" s="16" t="s">
        <v>138</v>
      </c>
      <c r="L288" s="16" t="s">
        <v>45</v>
      </c>
      <c r="M288" s="17">
        <v>45622</v>
      </c>
      <c r="N288" s="16" t="s">
        <v>49</v>
      </c>
      <c r="O288" s="18">
        <v>15</v>
      </c>
      <c r="P288" s="16" t="s">
        <v>47</v>
      </c>
      <c r="Q288" s="16" t="s">
        <v>46</v>
      </c>
      <c r="R288" s="18">
        <v>30</v>
      </c>
      <c r="S288" s="16" t="s">
        <v>46</v>
      </c>
      <c r="T288" s="18">
        <v>20</v>
      </c>
      <c r="U288" s="18">
        <v>20</v>
      </c>
      <c r="V288" s="18">
        <v>45</v>
      </c>
    </row>
    <row r="289" spans="10:22" hidden="1" x14ac:dyDescent="0.25">
      <c r="J289" s="16">
        <v>3506</v>
      </c>
      <c r="K289" s="16" t="s">
        <v>341</v>
      </c>
      <c r="L289" s="16" t="s">
        <v>169</v>
      </c>
      <c r="M289" s="17">
        <v>45623</v>
      </c>
      <c r="N289" s="16" t="s">
        <v>46</v>
      </c>
      <c r="O289" s="18">
        <v>10</v>
      </c>
      <c r="P289" s="16" t="s">
        <v>51</v>
      </c>
      <c r="Q289" s="16" t="s">
        <v>49</v>
      </c>
      <c r="R289" s="18" t="s">
        <v>167</v>
      </c>
      <c r="S289" s="16" t="s">
        <v>46</v>
      </c>
      <c r="T289" s="18">
        <v>20</v>
      </c>
      <c r="U289" s="18">
        <v>15</v>
      </c>
      <c r="V289" s="18">
        <v>15</v>
      </c>
    </row>
    <row r="290" spans="10:22" hidden="1" x14ac:dyDescent="0.25">
      <c r="J290" s="16">
        <v>3507</v>
      </c>
      <c r="K290" s="16" t="s">
        <v>342</v>
      </c>
      <c r="L290" s="16" t="s">
        <v>166</v>
      </c>
      <c r="M290" s="17">
        <v>45624</v>
      </c>
      <c r="N290" s="16" t="s">
        <v>49</v>
      </c>
      <c r="O290" s="18">
        <v>5</v>
      </c>
      <c r="P290" s="16" t="s">
        <v>47</v>
      </c>
      <c r="Q290" s="16" t="s">
        <v>49</v>
      </c>
      <c r="R290" s="18" t="s">
        <v>167</v>
      </c>
      <c r="S290" s="16" t="s">
        <v>49</v>
      </c>
      <c r="T290" s="18">
        <v>0</v>
      </c>
      <c r="U290" s="18">
        <v>1</v>
      </c>
      <c r="V290" s="18">
        <v>4</v>
      </c>
    </row>
    <row r="291" spans="10:22" hidden="1" x14ac:dyDescent="0.25">
      <c r="J291" s="16">
        <v>3508</v>
      </c>
      <c r="K291" s="16" t="s">
        <v>139</v>
      </c>
      <c r="L291" s="16" t="s">
        <v>45</v>
      </c>
      <c r="M291" s="17">
        <v>45625</v>
      </c>
      <c r="N291" s="16" t="s">
        <v>46</v>
      </c>
      <c r="O291" s="18">
        <v>15</v>
      </c>
      <c r="P291" s="16" t="s">
        <v>54</v>
      </c>
      <c r="Q291" s="16" t="s">
        <v>46</v>
      </c>
      <c r="R291" s="18">
        <v>30</v>
      </c>
      <c r="S291" s="16" t="s">
        <v>46</v>
      </c>
      <c r="T291" s="18">
        <v>20</v>
      </c>
      <c r="U291" s="18">
        <v>3</v>
      </c>
      <c r="V291" s="18">
        <v>62</v>
      </c>
    </row>
    <row r="292" spans="10:22" hidden="1" x14ac:dyDescent="0.25">
      <c r="J292" s="16">
        <v>3509</v>
      </c>
      <c r="K292" s="16" t="s">
        <v>343</v>
      </c>
      <c r="L292" s="16" t="s">
        <v>169</v>
      </c>
      <c r="M292" s="17">
        <v>45626</v>
      </c>
      <c r="N292" s="16" t="s">
        <v>49</v>
      </c>
      <c r="O292" s="18">
        <v>10</v>
      </c>
      <c r="P292" s="16" t="s">
        <v>47</v>
      </c>
      <c r="Q292" s="16" t="s">
        <v>49</v>
      </c>
      <c r="R292" s="18" t="s">
        <v>167</v>
      </c>
      <c r="S292" s="16" t="s">
        <v>46</v>
      </c>
      <c r="T292" s="18">
        <v>20</v>
      </c>
      <c r="U292" s="18">
        <v>10</v>
      </c>
      <c r="V292" s="18">
        <v>20</v>
      </c>
    </row>
    <row r="293" spans="10:22" hidden="1" x14ac:dyDescent="0.25">
      <c r="J293" s="16">
        <v>3510</v>
      </c>
      <c r="K293" s="16" t="s">
        <v>344</v>
      </c>
      <c r="L293" s="16" t="s">
        <v>166</v>
      </c>
      <c r="M293" s="17">
        <v>45627</v>
      </c>
      <c r="N293" s="16" t="s">
        <v>46</v>
      </c>
      <c r="O293" s="18">
        <v>5</v>
      </c>
      <c r="P293" s="16" t="s">
        <v>51</v>
      </c>
      <c r="Q293" s="16" t="s">
        <v>49</v>
      </c>
      <c r="R293" s="18" t="s">
        <v>167</v>
      </c>
      <c r="S293" s="16" t="s">
        <v>49</v>
      </c>
      <c r="T293" s="18">
        <v>0</v>
      </c>
      <c r="U293" s="18">
        <v>0</v>
      </c>
      <c r="V293" s="18">
        <v>5</v>
      </c>
    </row>
    <row r="294" spans="10:22" x14ac:dyDescent="0.25">
      <c r="J294" s="16">
        <v>3511</v>
      </c>
      <c r="K294" s="16" t="s">
        <v>140</v>
      </c>
      <c r="L294" s="16" t="s">
        <v>45</v>
      </c>
      <c r="M294" s="17">
        <v>45628</v>
      </c>
      <c r="N294" s="16" t="s">
        <v>49</v>
      </c>
      <c r="O294" s="18">
        <v>15</v>
      </c>
      <c r="P294" s="16" t="s">
        <v>47</v>
      </c>
      <c r="Q294" s="16" t="s">
        <v>46</v>
      </c>
      <c r="R294" s="18">
        <v>30</v>
      </c>
      <c r="S294" s="16" t="s">
        <v>46</v>
      </c>
      <c r="T294" s="18">
        <v>20</v>
      </c>
      <c r="U294" s="18">
        <v>15</v>
      </c>
      <c r="V294" s="18">
        <v>50</v>
      </c>
    </row>
    <row r="295" spans="10:22" hidden="1" x14ac:dyDescent="0.25">
      <c r="J295" s="16">
        <v>3512</v>
      </c>
      <c r="K295" s="16" t="s">
        <v>345</v>
      </c>
      <c r="L295" s="16" t="s">
        <v>169</v>
      </c>
      <c r="M295" s="17">
        <v>45629</v>
      </c>
      <c r="N295" s="16" t="s">
        <v>46</v>
      </c>
      <c r="O295" s="18">
        <v>10</v>
      </c>
      <c r="P295" s="16" t="s">
        <v>54</v>
      </c>
      <c r="Q295" s="16" t="s">
        <v>49</v>
      </c>
      <c r="R295" s="18" t="s">
        <v>167</v>
      </c>
      <c r="S295" s="16" t="s">
        <v>46</v>
      </c>
      <c r="T295" s="18">
        <v>20</v>
      </c>
      <c r="U295" s="18">
        <v>15</v>
      </c>
      <c r="V295" s="18">
        <v>15</v>
      </c>
    </row>
    <row r="296" spans="10:22" hidden="1" x14ac:dyDescent="0.25">
      <c r="J296" s="16">
        <v>3513</v>
      </c>
      <c r="K296" s="16" t="s">
        <v>346</v>
      </c>
      <c r="L296" s="16" t="s">
        <v>166</v>
      </c>
      <c r="M296" s="17">
        <v>45630</v>
      </c>
      <c r="N296" s="16" t="s">
        <v>49</v>
      </c>
      <c r="O296" s="18">
        <v>5</v>
      </c>
      <c r="P296" s="16" t="s">
        <v>47</v>
      </c>
      <c r="Q296" s="16" t="s">
        <v>49</v>
      </c>
      <c r="R296" s="18" t="s">
        <v>167</v>
      </c>
      <c r="S296" s="16" t="s">
        <v>49</v>
      </c>
      <c r="T296" s="18">
        <v>0</v>
      </c>
      <c r="U296" s="18">
        <v>1</v>
      </c>
      <c r="V296" s="18">
        <v>4</v>
      </c>
    </row>
    <row r="297" spans="10:22" hidden="1" x14ac:dyDescent="0.25">
      <c r="J297" s="16">
        <v>3514</v>
      </c>
      <c r="K297" s="16" t="s">
        <v>141</v>
      </c>
      <c r="L297" s="16" t="s">
        <v>45</v>
      </c>
      <c r="M297" s="17">
        <v>45631</v>
      </c>
      <c r="N297" s="16" t="s">
        <v>46</v>
      </c>
      <c r="O297" s="18">
        <v>15</v>
      </c>
      <c r="P297" s="16" t="s">
        <v>51</v>
      </c>
      <c r="Q297" s="16" t="s">
        <v>46</v>
      </c>
      <c r="R297" s="18">
        <v>30</v>
      </c>
      <c r="S297" s="16" t="s">
        <v>46</v>
      </c>
      <c r="T297" s="18">
        <v>20</v>
      </c>
      <c r="U297" s="18">
        <v>7</v>
      </c>
      <c r="V297" s="18">
        <v>58</v>
      </c>
    </row>
    <row r="298" spans="10:22" hidden="1" x14ac:dyDescent="0.25">
      <c r="J298" s="16">
        <v>3515</v>
      </c>
      <c r="K298" s="16" t="s">
        <v>254</v>
      </c>
      <c r="L298" s="16" t="s">
        <v>169</v>
      </c>
      <c r="M298" s="17">
        <v>45632</v>
      </c>
      <c r="N298" s="16" t="s">
        <v>49</v>
      </c>
      <c r="O298" s="18">
        <v>10</v>
      </c>
      <c r="P298" s="16" t="s">
        <v>47</v>
      </c>
      <c r="Q298" s="16" t="s">
        <v>49</v>
      </c>
      <c r="R298" s="18" t="s">
        <v>167</v>
      </c>
      <c r="S298" s="16" t="s">
        <v>46</v>
      </c>
      <c r="T298" s="18">
        <v>20</v>
      </c>
      <c r="U298" s="18">
        <v>10</v>
      </c>
      <c r="V298" s="18">
        <v>20</v>
      </c>
    </row>
    <row r="299" spans="10:22" hidden="1" x14ac:dyDescent="0.25">
      <c r="J299" s="16">
        <v>3516</v>
      </c>
      <c r="K299" s="16" t="s">
        <v>255</v>
      </c>
      <c r="L299" s="16" t="s">
        <v>166</v>
      </c>
      <c r="M299" s="17">
        <v>45633</v>
      </c>
      <c r="N299" s="16" t="s">
        <v>46</v>
      </c>
      <c r="O299" s="18">
        <v>5</v>
      </c>
      <c r="P299" s="16" t="s">
        <v>54</v>
      </c>
      <c r="Q299" s="16" t="s">
        <v>49</v>
      </c>
      <c r="R299" s="18" t="s">
        <v>167</v>
      </c>
      <c r="S299" s="16" t="s">
        <v>49</v>
      </c>
      <c r="T299" s="18">
        <v>0</v>
      </c>
      <c r="U299" s="18">
        <v>0</v>
      </c>
      <c r="V299" s="18">
        <v>5</v>
      </c>
    </row>
    <row r="300" spans="10:22" x14ac:dyDescent="0.25">
      <c r="J300" s="16">
        <v>3517</v>
      </c>
      <c r="K300" s="16" t="s">
        <v>142</v>
      </c>
      <c r="L300" s="16" t="s">
        <v>45</v>
      </c>
      <c r="M300" s="17">
        <v>45634</v>
      </c>
      <c r="N300" s="16" t="s">
        <v>49</v>
      </c>
      <c r="O300" s="18">
        <v>15</v>
      </c>
      <c r="P300" s="16" t="s">
        <v>47</v>
      </c>
      <c r="Q300" s="16" t="s">
        <v>46</v>
      </c>
      <c r="R300" s="18">
        <v>30</v>
      </c>
      <c r="S300" s="16" t="s">
        <v>46</v>
      </c>
      <c r="T300" s="18">
        <v>20</v>
      </c>
      <c r="U300" s="18">
        <v>20</v>
      </c>
      <c r="V300" s="18">
        <v>45</v>
      </c>
    </row>
    <row r="301" spans="10:22" hidden="1" x14ac:dyDescent="0.25">
      <c r="J301" s="16">
        <v>3518</v>
      </c>
      <c r="K301" s="16" t="s">
        <v>347</v>
      </c>
      <c r="L301" s="16" t="s">
        <v>169</v>
      </c>
      <c r="M301" s="17">
        <v>45635</v>
      </c>
      <c r="N301" s="16" t="s">
        <v>46</v>
      </c>
      <c r="O301" s="18">
        <v>10</v>
      </c>
      <c r="P301" s="16" t="s">
        <v>51</v>
      </c>
      <c r="Q301" s="16" t="s">
        <v>49</v>
      </c>
      <c r="R301" s="18" t="s">
        <v>167</v>
      </c>
      <c r="S301" s="16" t="s">
        <v>46</v>
      </c>
      <c r="T301" s="18">
        <v>20</v>
      </c>
      <c r="U301" s="18">
        <v>12</v>
      </c>
      <c r="V301" s="18">
        <v>18</v>
      </c>
    </row>
    <row r="302" spans="10:22" hidden="1" x14ac:dyDescent="0.25">
      <c r="J302" s="16">
        <v>3519</v>
      </c>
      <c r="K302" s="16" t="s">
        <v>348</v>
      </c>
      <c r="L302" s="16" t="s">
        <v>166</v>
      </c>
      <c r="M302" s="17">
        <v>45636</v>
      </c>
      <c r="N302" s="16" t="s">
        <v>49</v>
      </c>
      <c r="O302" s="18">
        <v>5</v>
      </c>
      <c r="P302" s="16" t="s">
        <v>47</v>
      </c>
      <c r="Q302" s="16" t="s">
        <v>49</v>
      </c>
      <c r="R302" s="18" t="s">
        <v>167</v>
      </c>
      <c r="S302" s="16" t="s">
        <v>49</v>
      </c>
      <c r="T302" s="18">
        <v>0</v>
      </c>
      <c r="U302" s="18">
        <v>2</v>
      </c>
      <c r="V302" s="18">
        <v>3</v>
      </c>
    </row>
    <row r="303" spans="10:22" hidden="1" x14ac:dyDescent="0.25">
      <c r="J303" s="16">
        <v>3520</v>
      </c>
      <c r="K303" s="16" t="s">
        <v>143</v>
      </c>
      <c r="L303" s="16" t="s">
        <v>45</v>
      </c>
      <c r="M303" s="17">
        <v>45637</v>
      </c>
      <c r="N303" s="16" t="s">
        <v>46</v>
      </c>
      <c r="O303" s="18">
        <v>15</v>
      </c>
      <c r="P303" s="16" t="s">
        <v>54</v>
      </c>
      <c r="Q303" s="16" t="s">
        <v>46</v>
      </c>
      <c r="R303" s="18">
        <v>30</v>
      </c>
      <c r="S303" s="16" t="s">
        <v>46</v>
      </c>
      <c r="T303" s="18">
        <v>20</v>
      </c>
      <c r="U303" s="18">
        <v>5</v>
      </c>
      <c r="V303" s="18">
        <v>60</v>
      </c>
    </row>
    <row r="304" spans="10:22" hidden="1" x14ac:dyDescent="0.25">
      <c r="J304" s="16">
        <v>3521</v>
      </c>
      <c r="K304" s="16" t="s">
        <v>349</v>
      </c>
      <c r="L304" s="16" t="s">
        <v>169</v>
      </c>
      <c r="M304" s="17">
        <v>45638</v>
      </c>
      <c r="N304" s="16" t="s">
        <v>49</v>
      </c>
      <c r="O304" s="18">
        <v>10</v>
      </c>
      <c r="P304" s="16" t="s">
        <v>47</v>
      </c>
      <c r="Q304" s="16" t="s">
        <v>49</v>
      </c>
      <c r="R304" s="18" t="s">
        <v>167</v>
      </c>
      <c r="S304" s="16" t="s">
        <v>46</v>
      </c>
      <c r="T304" s="18">
        <v>20</v>
      </c>
      <c r="U304" s="18">
        <v>10</v>
      </c>
      <c r="V304" s="18">
        <v>20</v>
      </c>
    </row>
    <row r="305" spans="10:22" hidden="1" x14ac:dyDescent="0.25">
      <c r="J305" s="16">
        <v>3522</v>
      </c>
      <c r="K305" s="16" t="s">
        <v>350</v>
      </c>
      <c r="L305" s="16" t="s">
        <v>166</v>
      </c>
      <c r="M305" s="17">
        <v>45639</v>
      </c>
      <c r="N305" s="16" t="s">
        <v>46</v>
      </c>
      <c r="O305" s="18">
        <v>5</v>
      </c>
      <c r="P305" s="16" t="s">
        <v>51</v>
      </c>
      <c r="Q305" s="16" t="s">
        <v>49</v>
      </c>
      <c r="R305" s="18" t="s">
        <v>167</v>
      </c>
      <c r="S305" s="16" t="s">
        <v>49</v>
      </c>
      <c r="T305" s="18">
        <v>0</v>
      </c>
      <c r="U305" s="18">
        <v>0</v>
      </c>
      <c r="V305" s="18">
        <v>5</v>
      </c>
    </row>
    <row r="306" spans="10:22" x14ac:dyDescent="0.25">
      <c r="J306" s="16">
        <v>3523</v>
      </c>
      <c r="K306" s="16" t="s">
        <v>144</v>
      </c>
      <c r="L306" s="16" t="s">
        <v>45</v>
      </c>
      <c r="M306" s="17">
        <v>45640</v>
      </c>
      <c r="N306" s="16" t="s">
        <v>49</v>
      </c>
      <c r="O306" s="18">
        <v>15</v>
      </c>
      <c r="P306" s="16" t="s">
        <v>47</v>
      </c>
      <c r="Q306" s="16" t="s">
        <v>46</v>
      </c>
      <c r="R306" s="18">
        <v>30</v>
      </c>
      <c r="S306" s="16" t="s">
        <v>46</v>
      </c>
      <c r="T306" s="18">
        <v>20</v>
      </c>
      <c r="U306" s="18">
        <v>3</v>
      </c>
      <c r="V306" s="18">
        <v>62</v>
      </c>
    </row>
    <row r="307" spans="10:22" hidden="1" x14ac:dyDescent="0.25">
      <c r="J307" s="16">
        <v>3524</v>
      </c>
      <c r="K307" s="16" t="s">
        <v>351</v>
      </c>
      <c r="L307" s="16" t="s">
        <v>169</v>
      </c>
      <c r="M307" s="17">
        <v>45641</v>
      </c>
      <c r="N307" s="16" t="s">
        <v>46</v>
      </c>
      <c r="O307" s="18">
        <v>10</v>
      </c>
      <c r="P307" s="16" t="s">
        <v>54</v>
      </c>
      <c r="Q307" s="16" t="s">
        <v>49</v>
      </c>
      <c r="R307" s="18" t="s">
        <v>167</v>
      </c>
      <c r="S307" s="16" t="s">
        <v>46</v>
      </c>
      <c r="T307" s="18">
        <v>20</v>
      </c>
      <c r="U307" s="18">
        <v>15</v>
      </c>
      <c r="V307" s="18">
        <v>15</v>
      </c>
    </row>
    <row r="308" spans="10:22" hidden="1" x14ac:dyDescent="0.25">
      <c r="J308" s="16">
        <v>3525</v>
      </c>
      <c r="K308" s="16" t="s">
        <v>352</v>
      </c>
      <c r="L308" s="16" t="s">
        <v>166</v>
      </c>
      <c r="M308" s="17">
        <v>45642</v>
      </c>
      <c r="N308" s="16" t="s">
        <v>49</v>
      </c>
      <c r="O308" s="18">
        <v>5</v>
      </c>
      <c r="P308" s="16" t="s">
        <v>47</v>
      </c>
      <c r="Q308" s="16" t="s">
        <v>49</v>
      </c>
      <c r="R308" s="18" t="s">
        <v>167</v>
      </c>
      <c r="S308" s="16" t="s">
        <v>49</v>
      </c>
      <c r="T308" s="18">
        <v>0</v>
      </c>
      <c r="U308" s="18">
        <v>1</v>
      </c>
      <c r="V308" s="18">
        <v>4</v>
      </c>
    </row>
  </sheetData>
  <mergeCells count="6">
    <mergeCell ref="C12:I12"/>
    <mergeCell ref="C5:I5"/>
    <mergeCell ref="C6:I6"/>
    <mergeCell ref="C7:I7"/>
    <mergeCell ref="C10:I10"/>
    <mergeCell ref="C11:I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C174-B556-4B02-BE58-EEF313CA2395}">
  <dimension ref="B2:J112"/>
  <sheetViews>
    <sheetView showGridLines="0" topLeftCell="A76" workbookViewId="0">
      <selection activeCell="G89" sqref="G89"/>
    </sheetView>
  </sheetViews>
  <sheetFormatPr defaultRowHeight="15" x14ac:dyDescent="0.25"/>
  <cols>
    <col min="1" max="1" width="23.28515625" customWidth="1"/>
    <col min="3" max="3" width="26.7109375" customWidth="1"/>
    <col min="4" max="4" width="34.42578125" customWidth="1"/>
    <col min="5" max="5" width="28.7109375" customWidth="1"/>
    <col min="6" max="6" width="12.140625" bestFit="1" customWidth="1"/>
    <col min="7" max="8" width="13" customWidth="1"/>
    <col min="9" max="9" width="17.7109375" bestFit="1" customWidth="1"/>
    <col min="10" max="10" width="12.140625" bestFit="1" customWidth="1"/>
  </cols>
  <sheetData>
    <row r="2" spans="2:9" ht="18.75" x14ac:dyDescent="0.3">
      <c r="B2" s="3" t="s">
        <v>11</v>
      </c>
      <c r="C2" s="3" t="s">
        <v>20</v>
      </c>
    </row>
    <row r="4" spans="2:9" x14ac:dyDescent="0.25">
      <c r="B4" s="2" t="s">
        <v>0</v>
      </c>
    </row>
    <row r="5" spans="2:9" x14ac:dyDescent="0.25">
      <c r="B5" s="1"/>
      <c r="C5" s="35" t="s">
        <v>21</v>
      </c>
      <c r="D5" s="35"/>
      <c r="E5" s="35"/>
      <c r="F5" s="35"/>
      <c r="G5" s="35"/>
      <c r="H5" s="35"/>
      <c r="I5" s="35"/>
    </row>
    <row r="6" spans="2:9" x14ac:dyDescent="0.25">
      <c r="B6" s="1"/>
      <c r="C6" s="35"/>
      <c r="D6" s="35"/>
      <c r="E6" s="35"/>
      <c r="F6" s="35"/>
      <c r="G6" s="35"/>
      <c r="H6" s="35"/>
      <c r="I6" s="35"/>
    </row>
    <row r="7" spans="2:9" x14ac:dyDescent="0.25">
      <c r="B7" s="1"/>
      <c r="C7" s="35"/>
      <c r="D7" s="35"/>
      <c r="E7" s="35"/>
      <c r="F7" s="35"/>
      <c r="G7" s="35"/>
      <c r="H7" s="35"/>
      <c r="I7" s="35"/>
    </row>
    <row r="9" spans="2:9" x14ac:dyDescent="0.25">
      <c r="B9" s="2" t="s">
        <v>16</v>
      </c>
      <c r="C9" s="1"/>
      <c r="D9" s="1"/>
      <c r="E9" s="1"/>
      <c r="F9" s="1"/>
      <c r="G9" s="1"/>
      <c r="H9" s="1"/>
      <c r="I9" s="1"/>
    </row>
    <row r="10" spans="2:9" x14ac:dyDescent="0.25">
      <c r="B10" s="1"/>
      <c r="C10" s="35" t="s">
        <v>23</v>
      </c>
      <c r="D10" s="35"/>
      <c r="E10" s="35"/>
      <c r="F10" s="35"/>
      <c r="G10" s="35"/>
      <c r="H10" s="35"/>
      <c r="I10" s="35"/>
    </row>
    <row r="11" spans="2:9" x14ac:dyDescent="0.25">
      <c r="B11" s="1"/>
      <c r="C11" s="35" t="s">
        <v>14</v>
      </c>
      <c r="D11" s="35"/>
      <c r="E11" s="35"/>
      <c r="F11" s="35"/>
      <c r="G11" s="35"/>
      <c r="H11" s="35"/>
      <c r="I11" s="35"/>
    </row>
    <row r="12" spans="2:9" x14ac:dyDescent="0.25">
      <c r="B12" s="1"/>
      <c r="C12" s="35" t="s">
        <v>15</v>
      </c>
      <c r="D12" s="35"/>
      <c r="E12" s="35"/>
      <c r="F12" s="35"/>
      <c r="G12" s="35"/>
      <c r="H12" s="35"/>
      <c r="I12" s="35"/>
    </row>
    <row r="13" spans="2:9" x14ac:dyDescent="0.25">
      <c r="B13" s="1"/>
      <c r="C13" s="1"/>
      <c r="D13" s="1"/>
      <c r="E13" s="1"/>
      <c r="F13" s="1"/>
      <c r="G13" s="1"/>
      <c r="H13" s="1"/>
      <c r="I13" s="1"/>
    </row>
    <row r="14" spans="2:9" x14ac:dyDescent="0.25">
      <c r="B14" s="1"/>
      <c r="C14" s="1"/>
      <c r="D14" s="1"/>
      <c r="E14" s="1"/>
      <c r="F14" s="1"/>
      <c r="G14" s="1"/>
      <c r="H14" s="1"/>
      <c r="I14" s="1"/>
    </row>
    <row r="16" spans="2:9" ht="15.75" x14ac:dyDescent="0.25">
      <c r="C16" s="9" t="s">
        <v>354</v>
      </c>
    </row>
    <row r="17" spans="3:4" ht="15.75" x14ac:dyDescent="0.25">
      <c r="C17" s="10" t="s">
        <v>158</v>
      </c>
    </row>
    <row r="18" spans="3:4" ht="15.75" x14ac:dyDescent="0.25">
      <c r="C18" s="10" t="s">
        <v>160</v>
      </c>
    </row>
    <row r="19" spans="3:4" ht="15.75" x14ac:dyDescent="0.25">
      <c r="C19" s="10" t="s">
        <v>159</v>
      </c>
    </row>
    <row r="20" spans="3:4" ht="15.75" x14ac:dyDescent="0.25">
      <c r="C20" s="10"/>
    </row>
    <row r="21" spans="3:4" ht="15.75" x14ac:dyDescent="0.25">
      <c r="C21" s="10"/>
    </row>
    <row r="22" spans="3:4" ht="15.75" x14ac:dyDescent="0.25">
      <c r="C22" s="9" t="s">
        <v>354</v>
      </c>
    </row>
    <row r="24" spans="3:4" x14ac:dyDescent="0.25">
      <c r="C24" s="23" t="s">
        <v>147</v>
      </c>
      <c r="D24" t="s">
        <v>353</v>
      </c>
    </row>
    <row r="25" spans="3:4" x14ac:dyDescent="0.25">
      <c r="C25" s="24" t="s">
        <v>166</v>
      </c>
      <c r="D25" s="22">
        <v>192</v>
      </c>
    </row>
    <row r="26" spans="3:4" x14ac:dyDescent="0.25">
      <c r="C26" s="24" t="s">
        <v>169</v>
      </c>
      <c r="D26" s="22">
        <v>958</v>
      </c>
    </row>
    <row r="27" spans="3:4" x14ac:dyDescent="0.25">
      <c r="C27" s="24" t="s">
        <v>45</v>
      </c>
      <c r="D27" s="22">
        <v>2421</v>
      </c>
    </row>
    <row r="28" spans="3:4" x14ac:dyDescent="0.25">
      <c r="C28" s="24" t="s">
        <v>164</v>
      </c>
      <c r="D28" s="22">
        <v>3571</v>
      </c>
    </row>
    <row r="33" spans="3:5" ht="15.75" x14ac:dyDescent="0.25">
      <c r="C33" s="10" t="s">
        <v>355</v>
      </c>
    </row>
    <row r="35" spans="3:5" x14ac:dyDescent="0.25">
      <c r="C35" s="23" t="s">
        <v>149</v>
      </c>
      <c r="D35" t="s">
        <v>353</v>
      </c>
      <c r="E35" t="s">
        <v>358</v>
      </c>
    </row>
    <row r="36" spans="3:5" x14ac:dyDescent="0.25">
      <c r="C36" s="24" t="s">
        <v>49</v>
      </c>
      <c r="D36" s="22">
        <v>2824</v>
      </c>
      <c r="E36" s="36">
        <v>111</v>
      </c>
    </row>
    <row r="37" spans="3:5" x14ac:dyDescent="0.25">
      <c r="C37" s="24" t="s">
        <v>46</v>
      </c>
      <c r="D37" s="22">
        <v>747</v>
      </c>
      <c r="E37" s="36">
        <v>28</v>
      </c>
    </row>
    <row r="38" spans="3:5" x14ac:dyDescent="0.25">
      <c r="C38" s="24" t="s">
        <v>164</v>
      </c>
      <c r="D38" s="22">
        <v>3571</v>
      </c>
      <c r="E38" s="36">
        <v>139</v>
      </c>
    </row>
    <row r="52" spans="3:10" ht="15.75" x14ac:dyDescent="0.25">
      <c r="C52" s="10" t="s">
        <v>160</v>
      </c>
    </row>
    <row r="55" spans="3:10" x14ac:dyDescent="0.25">
      <c r="C55" s="23" t="s">
        <v>152</v>
      </c>
      <c r="D55" t="s">
        <v>360</v>
      </c>
      <c r="E55" t="s">
        <v>361</v>
      </c>
    </row>
    <row r="56" spans="3:10" x14ac:dyDescent="0.25">
      <c r="C56" s="24" t="s">
        <v>49</v>
      </c>
      <c r="D56" s="36">
        <v>0</v>
      </c>
      <c r="E56" s="36">
        <v>94</v>
      </c>
    </row>
    <row r="57" spans="3:10" x14ac:dyDescent="0.25">
      <c r="C57" s="25" t="s">
        <v>166</v>
      </c>
      <c r="D57" s="36">
        <v>0</v>
      </c>
      <c r="E57" s="36">
        <v>49</v>
      </c>
    </row>
    <row r="58" spans="3:10" x14ac:dyDescent="0.25">
      <c r="C58" s="25" t="s">
        <v>169</v>
      </c>
      <c r="D58" s="36">
        <v>0</v>
      </c>
      <c r="E58" s="36">
        <v>45</v>
      </c>
    </row>
    <row r="59" spans="3:10" x14ac:dyDescent="0.25">
      <c r="C59" s="24" t="s">
        <v>46</v>
      </c>
      <c r="D59" s="36">
        <v>1350</v>
      </c>
      <c r="E59" s="36">
        <v>45</v>
      </c>
      <c r="G59" t="s">
        <v>362</v>
      </c>
      <c r="H59" s="28">
        <f>GETPIVOTDATA("Total EA Play Season Pass",$C$55,"EA Play Season Pass","Yes")</f>
        <v>1350</v>
      </c>
      <c r="I59" t="s">
        <v>363</v>
      </c>
      <c r="J59">
        <f>GETPIVOTDATA("Count EA Play Season Pass",$C$55,"EA Play Season Pass","Yes")</f>
        <v>45</v>
      </c>
    </row>
    <row r="60" spans="3:10" x14ac:dyDescent="0.25">
      <c r="C60" s="25" t="s">
        <v>45</v>
      </c>
      <c r="D60" s="36">
        <v>1350</v>
      </c>
      <c r="E60" s="36">
        <v>45</v>
      </c>
      <c r="I60" t="s">
        <v>364</v>
      </c>
      <c r="J60">
        <f>GETPIVOTDATA("Count EA Play Season Pass",$C$55)</f>
        <v>139</v>
      </c>
    </row>
    <row r="61" spans="3:10" x14ac:dyDescent="0.25">
      <c r="C61" s="24" t="s">
        <v>164</v>
      </c>
      <c r="D61" s="36">
        <v>1350</v>
      </c>
      <c r="E61" s="36">
        <v>139</v>
      </c>
    </row>
    <row r="68" spans="2:10" ht="15.75" x14ac:dyDescent="0.25">
      <c r="C68" s="10" t="s">
        <v>159</v>
      </c>
    </row>
    <row r="70" spans="2:10" x14ac:dyDescent="0.25">
      <c r="C70" s="23" t="s">
        <v>147</v>
      </c>
      <c r="D70" t="s">
        <v>365</v>
      </c>
      <c r="E70" t="s">
        <v>366</v>
      </c>
    </row>
    <row r="71" spans="2:10" x14ac:dyDescent="0.25">
      <c r="C71" s="24" t="s">
        <v>166</v>
      </c>
      <c r="D71" s="22">
        <v>0</v>
      </c>
      <c r="E71" s="36">
        <v>49</v>
      </c>
    </row>
    <row r="72" spans="2:10" x14ac:dyDescent="0.25">
      <c r="C72" s="24" t="s">
        <v>169</v>
      </c>
      <c r="D72" s="22">
        <v>900</v>
      </c>
      <c r="E72" s="36">
        <v>45</v>
      </c>
    </row>
    <row r="73" spans="2:10" x14ac:dyDescent="0.25">
      <c r="C73" s="24" t="s">
        <v>45</v>
      </c>
      <c r="D73" s="22">
        <v>900</v>
      </c>
      <c r="E73" s="36">
        <v>45</v>
      </c>
      <c r="G73" t="s">
        <v>362</v>
      </c>
      <c r="H73" s="28">
        <f>GETPIVOTDATA("Total Minecraft Season Pass Price",$C$70)</f>
        <v>1800</v>
      </c>
      <c r="I73" t="s">
        <v>363</v>
      </c>
      <c r="J73">
        <f>SUMIF(D71:D73,"&gt;0",E71:E73)</f>
        <v>90</v>
      </c>
    </row>
    <row r="74" spans="2:10" x14ac:dyDescent="0.25">
      <c r="C74" s="24" t="s">
        <v>164</v>
      </c>
      <c r="D74" s="22">
        <v>1800</v>
      </c>
      <c r="E74" s="36">
        <v>139</v>
      </c>
    </row>
    <row r="78" spans="2:10" ht="15.75" x14ac:dyDescent="0.25">
      <c r="B78" s="4"/>
      <c r="C78" s="31" t="s">
        <v>368</v>
      </c>
      <c r="D78" s="4"/>
      <c r="E78" s="4"/>
      <c r="F78" s="4"/>
      <c r="G78" s="4"/>
      <c r="H78" s="4"/>
      <c r="I78" s="4"/>
    </row>
    <row r="79" spans="2:10" x14ac:dyDescent="0.25">
      <c r="B79" s="4"/>
      <c r="C79" s="4"/>
      <c r="D79" s="4"/>
      <c r="E79" s="4"/>
      <c r="F79" s="4"/>
      <c r="G79" s="4"/>
      <c r="H79" s="4"/>
      <c r="I79" s="4"/>
    </row>
    <row r="80" spans="2:10" x14ac:dyDescent="0.25">
      <c r="B80" s="4"/>
      <c r="C80" s="23" t="s">
        <v>147</v>
      </c>
      <c r="D80" t="s">
        <v>374</v>
      </c>
      <c r="E80" t="s">
        <v>366</v>
      </c>
      <c r="F80" s="4"/>
      <c r="G80" s="4"/>
      <c r="H80" s="4"/>
      <c r="I80" s="4"/>
    </row>
    <row r="81" spans="2:9" x14ac:dyDescent="0.25">
      <c r="B81" s="4"/>
      <c r="C81" s="24" t="s">
        <v>166</v>
      </c>
      <c r="D81" s="22">
        <v>53</v>
      </c>
      <c r="E81" s="36">
        <v>49</v>
      </c>
      <c r="F81" s="4"/>
      <c r="G81" s="4"/>
      <c r="H81" s="4"/>
      <c r="I81" s="4"/>
    </row>
    <row r="82" spans="2:9" x14ac:dyDescent="0.25">
      <c r="B82" s="4"/>
      <c r="C82" s="24" t="s">
        <v>169</v>
      </c>
      <c r="D82" s="22">
        <v>392</v>
      </c>
      <c r="E82" s="36">
        <v>45</v>
      </c>
      <c r="F82" s="4"/>
      <c r="G82" s="4"/>
      <c r="H82" s="4"/>
      <c r="I82" s="4"/>
    </row>
    <row r="83" spans="2:9" x14ac:dyDescent="0.25">
      <c r="B83" s="4"/>
      <c r="C83" s="24" t="s">
        <v>45</v>
      </c>
      <c r="D83" s="22">
        <v>504</v>
      </c>
      <c r="E83" s="36">
        <v>45</v>
      </c>
      <c r="F83" s="4"/>
      <c r="G83" s="4"/>
      <c r="H83" s="4"/>
      <c r="I83" s="4"/>
    </row>
    <row r="84" spans="2:9" x14ac:dyDescent="0.25">
      <c r="B84" s="4"/>
      <c r="C84" s="24" t="s">
        <v>164</v>
      </c>
      <c r="D84" s="22">
        <v>949</v>
      </c>
      <c r="E84" s="36">
        <v>139</v>
      </c>
      <c r="F84" s="4"/>
      <c r="G84" s="4">
        <f>GETPIVOTDATA("Coupon Values",$C$80)</f>
        <v>949</v>
      </c>
      <c r="H84" s="4"/>
      <c r="I84" s="4"/>
    </row>
    <row r="85" spans="2:9" x14ac:dyDescent="0.25">
      <c r="B85" s="4"/>
      <c r="C85" s="4"/>
      <c r="D85" s="4"/>
      <c r="E85" s="4"/>
      <c r="F85" s="4"/>
      <c r="G85" s="4"/>
      <c r="H85" s="4"/>
      <c r="I85" s="4"/>
    </row>
    <row r="86" spans="2:9" ht="15.75" x14ac:dyDescent="0.25">
      <c r="B86" s="4"/>
      <c r="C86" s="31" t="s">
        <v>369</v>
      </c>
      <c r="D86" s="4"/>
      <c r="E86" s="4"/>
      <c r="F86" s="4"/>
      <c r="G86" s="4"/>
      <c r="H86" s="4"/>
      <c r="I86" s="4"/>
    </row>
    <row r="87" spans="2:9" x14ac:dyDescent="0.25">
      <c r="B87" s="4"/>
      <c r="C87" s="4"/>
      <c r="D87" s="4"/>
      <c r="E87" s="4"/>
      <c r="F87" s="4"/>
      <c r="G87" s="4"/>
      <c r="H87" s="4"/>
      <c r="I87" s="4"/>
    </row>
    <row r="88" spans="2:9" ht="21" x14ac:dyDescent="0.35">
      <c r="B88" s="4"/>
      <c r="C88" s="23" t="s">
        <v>147</v>
      </c>
      <c r="D88" t="s">
        <v>367</v>
      </c>
      <c r="E88" t="s">
        <v>359</v>
      </c>
      <c r="F88" s="4"/>
      <c r="G88" s="4"/>
      <c r="H88" s="32" t="s">
        <v>380</v>
      </c>
      <c r="I88" s="4"/>
    </row>
    <row r="89" spans="2:9" x14ac:dyDescent="0.25">
      <c r="B89" s="4"/>
      <c r="C89" s="24" t="s">
        <v>166</v>
      </c>
      <c r="D89" s="22">
        <v>53</v>
      </c>
      <c r="E89" s="36">
        <v>49</v>
      </c>
      <c r="F89" s="4"/>
      <c r="G89" s="4"/>
      <c r="H89" s="4"/>
      <c r="I89" s="4"/>
    </row>
    <row r="90" spans="2:9" x14ac:dyDescent="0.25">
      <c r="B90" s="4"/>
      <c r="C90" s="24" t="s">
        <v>169</v>
      </c>
      <c r="D90" s="22">
        <v>392</v>
      </c>
      <c r="E90" s="36">
        <v>45</v>
      </c>
      <c r="F90" s="4"/>
      <c r="G90" s="4"/>
      <c r="H90" s="4"/>
      <c r="I90" s="4"/>
    </row>
    <row r="91" spans="2:9" x14ac:dyDescent="0.25">
      <c r="B91" s="4"/>
      <c r="C91" s="24" t="s">
        <v>45</v>
      </c>
      <c r="D91" s="22">
        <v>504</v>
      </c>
      <c r="E91" s="36">
        <v>45</v>
      </c>
      <c r="F91" s="4"/>
      <c r="G91" s="4"/>
      <c r="H91" s="4"/>
      <c r="I91" s="4"/>
    </row>
    <row r="92" spans="2:9" x14ac:dyDescent="0.25">
      <c r="B92" s="4"/>
      <c r="C92" s="24" t="s">
        <v>164</v>
      </c>
      <c r="D92" s="22">
        <v>949</v>
      </c>
      <c r="E92" s="36">
        <v>139</v>
      </c>
      <c r="F92" s="4"/>
      <c r="G92" s="4"/>
      <c r="H92" s="4"/>
      <c r="I92" s="4"/>
    </row>
    <row r="93" spans="2:9" x14ac:dyDescent="0.25">
      <c r="B93" s="4"/>
      <c r="C93" s="4"/>
      <c r="D93" s="4"/>
      <c r="E93" s="4"/>
      <c r="F93" s="4"/>
      <c r="G93" s="4"/>
      <c r="H93" s="4"/>
      <c r="I93" s="4"/>
    </row>
    <row r="94" spans="2:9" x14ac:dyDescent="0.25">
      <c r="B94" s="4"/>
      <c r="C94" s="4"/>
      <c r="D94" s="4"/>
      <c r="E94" s="4"/>
      <c r="F94" s="4"/>
      <c r="G94" s="4"/>
      <c r="H94" s="4"/>
      <c r="I94" s="4"/>
    </row>
    <row r="95" spans="2:9" ht="15.75" x14ac:dyDescent="0.25">
      <c r="B95" s="4"/>
      <c r="C95" s="31" t="s">
        <v>370</v>
      </c>
      <c r="D95" s="4"/>
      <c r="E95" s="4"/>
      <c r="F95" s="4"/>
      <c r="G95" s="4"/>
      <c r="H95" s="4"/>
      <c r="I95" s="4"/>
    </row>
    <row r="96" spans="2:9" x14ac:dyDescent="0.25">
      <c r="B96" s="4"/>
      <c r="C96" s="4"/>
      <c r="D96" s="4"/>
      <c r="E96" s="4"/>
      <c r="F96" s="4"/>
      <c r="G96" s="4"/>
      <c r="H96" s="4"/>
      <c r="I96" s="4"/>
    </row>
    <row r="97" spans="2:9" x14ac:dyDescent="0.25">
      <c r="B97" s="4"/>
      <c r="C97" s="23" t="s">
        <v>147</v>
      </c>
      <c r="D97" t="s">
        <v>367</v>
      </c>
      <c r="E97" t="s">
        <v>357</v>
      </c>
      <c r="F97" s="4"/>
      <c r="G97" s="4"/>
      <c r="H97" s="4"/>
      <c r="I97" s="4"/>
    </row>
    <row r="98" spans="2:9" x14ac:dyDescent="0.25">
      <c r="B98" s="4"/>
      <c r="C98" s="24" t="s">
        <v>166</v>
      </c>
      <c r="D98" s="22">
        <v>53</v>
      </c>
      <c r="E98" s="36">
        <v>49</v>
      </c>
      <c r="F98" s="4"/>
      <c r="G98" s="4"/>
      <c r="H98" s="4"/>
      <c r="I98" s="4"/>
    </row>
    <row r="99" spans="2:9" x14ac:dyDescent="0.25">
      <c r="B99" s="4"/>
      <c r="C99" s="24" t="s">
        <v>169</v>
      </c>
      <c r="D99" s="22">
        <v>392</v>
      </c>
      <c r="E99" s="36">
        <v>45</v>
      </c>
      <c r="F99" s="4"/>
      <c r="G99" s="4"/>
      <c r="H99" s="4"/>
      <c r="I99" s="4"/>
    </row>
    <row r="100" spans="2:9" x14ac:dyDescent="0.25">
      <c r="B100" s="4"/>
      <c r="C100" s="24" t="s">
        <v>45</v>
      </c>
      <c r="D100" s="22">
        <v>504</v>
      </c>
      <c r="E100" s="36">
        <v>45</v>
      </c>
      <c r="F100" s="4"/>
      <c r="G100" s="4"/>
      <c r="H100" s="4"/>
      <c r="I100" s="4"/>
    </row>
    <row r="101" spans="2:9" x14ac:dyDescent="0.25">
      <c r="B101" s="4"/>
      <c r="C101" s="24" t="s">
        <v>164</v>
      </c>
      <c r="D101" s="22">
        <v>949</v>
      </c>
      <c r="E101" s="36">
        <v>139</v>
      </c>
      <c r="F101" s="4"/>
      <c r="G101" s="4"/>
      <c r="H101" s="4"/>
      <c r="I101" s="4"/>
    </row>
    <row r="102" spans="2:9" x14ac:dyDescent="0.25">
      <c r="B102" s="4"/>
      <c r="C102" s="4"/>
      <c r="D102" s="4"/>
      <c r="E102" s="4"/>
      <c r="F102" s="4"/>
      <c r="G102" s="4"/>
      <c r="H102" s="4"/>
      <c r="I102" s="4"/>
    </row>
    <row r="103" spans="2:9" x14ac:dyDescent="0.25">
      <c r="B103" s="4"/>
      <c r="C103" s="4"/>
      <c r="D103" s="4"/>
      <c r="E103" s="4"/>
      <c r="F103" s="4"/>
      <c r="G103" s="4"/>
      <c r="H103" s="4"/>
      <c r="I103" s="4"/>
    </row>
    <row r="105" spans="2:9" ht="15.75" x14ac:dyDescent="0.25">
      <c r="C105" s="10" t="s">
        <v>371</v>
      </c>
    </row>
    <row r="107" spans="2:9" x14ac:dyDescent="0.25">
      <c r="C107" s="23" t="s">
        <v>147</v>
      </c>
      <c r="D107" t="s">
        <v>353</v>
      </c>
      <c r="E107" t="s">
        <v>372</v>
      </c>
      <c r="F107" t="s">
        <v>373</v>
      </c>
    </row>
    <row r="108" spans="2:9" x14ac:dyDescent="0.25">
      <c r="C108" s="24" t="s">
        <v>166</v>
      </c>
      <c r="D108" s="22">
        <v>192</v>
      </c>
      <c r="E108" s="22">
        <v>3.9183673469387754</v>
      </c>
      <c r="F108" s="36">
        <v>49</v>
      </c>
    </row>
    <row r="109" spans="2:9" x14ac:dyDescent="0.25">
      <c r="C109" s="24" t="s">
        <v>169</v>
      </c>
      <c r="D109" s="22">
        <v>958</v>
      </c>
      <c r="E109" s="22">
        <v>21.288888888888888</v>
      </c>
      <c r="F109" s="36">
        <v>45</v>
      </c>
    </row>
    <row r="110" spans="2:9" x14ac:dyDescent="0.25">
      <c r="C110" s="24" t="s">
        <v>45</v>
      </c>
      <c r="D110" s="22">
        <v>2421</v>
      </c>
      <c r="E110" s="22">
        <v>53.8</v>
      </c>
      <c r="F110" s="36">
        <v>45</v>
      </c>
    </row>
    <row r="111" spans="2:9" x14ac:dyDescent="0.25">
      <c r="C111" s="24" t="s">
        <v>164</v>
      </c>
      <c r="D111" s="22">
        <v>3571</v>
      </c>
      <c r="E111" s="22">
        <v>25.690647482014388</v>
      </c>
      <c r="F111" s="36">
        <v>139</v>
      </c>
      <c r="H111" s="22">
        <f>GETPIVOTDATA("Total Values",$C$107)</f>
        <v>3571</v>
      </c>
    </row>
    <row r="112" spans="2:9" x14ac:dyDescent="0.25">
      <c r="H112">
        <f>GETPIVOTDATA("Count Plan",$C$107)</f>
        <v>139</v>
      </c>
    </row>
  </sheetData>
  <mergeCells count="6">
    <mergeCell ref="C12:I12"/>
    <mergeCell ref="C5:I5"/>
    <mergeCell ref="C6:I6"/>
    <mergeCell ref="C7:I7"/>
    <mergeCell ref="C10:I10"/>
    <mergeCell ref="C11:I11"/>
  </mergeCells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5BCF-67DB-4E8F-A6B2-9A28552AB748}">
  <dimension ref="A1:AL95"/>
  <sheetViews>
    <sheetView showGridLines="0" showRowColHeaders="0" tabSelected="1" workbookViewId="0">
      <selection activeCell="M5" sqref="M5"/>
    </sheetView>
  </sheetViews>
  <sheetFormatPr defaultRowHeight="15" x14ac:dyDescent="0.25"/>
  <cols>
    <col min="1" max="1" width="30" style="29" customWidth="1"/>
  </cols>
  <sheetData>
    <row r="1" spans="1:38" x14ac:dyDescent="0.2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x14ac:dyDescent="0.25">
      <c r="B3" s="12"/>
      <c r="C3" s="12"/>
      <c r="D3" s="12"/>
      <c r="E3" s="12"/>
      <c r="F3" s="3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x14ac:dyDescent="0.25">
      <c r="B4" s="12"/>
      <c r="C4" s="12"/>
      <c r="D4" s="12"/>
      <c r="E4" s="12"/>
      <c r="F4" s="30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x14ac:dyDescent="0.25">
      <c r="A5" s="34" t="s">
        <v>382</v>
      </c>
      <c r="B5" s="33" t="s">
        <v>381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x14ac:dyDescent="0.2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x14ac:dyDescent="0.2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x14ac:dyDescent="0.2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x14ac:dyDescent="0.2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x14ac:dyDescent="0.2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2:38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2:38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2:38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2:38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2:38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2:38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2:38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2:38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2:38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2:38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2:38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2:38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2:38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2:38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2:38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2:38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2:38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2:38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2:38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2:38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2:38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2:38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2:38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2:38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2:38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2:38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2:38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2:38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2:38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2:38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2:38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2:38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2:38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Monteiro Silva</dc:creator>
  <cp:lastModifiedBy>Alvaro Monteiro Silva</cp:lastModifiedBy>
  <dcterms:created xsi:type="dcterms:W3CDTF">2026-02-11T16:58:50Z</dcterms:created>
  <dcterms:modified xsi:type="dcterms:W3CDTF">2026-02-14T00:34:30Z</dcterms:modified>
</cp:coreProperties>
</file>